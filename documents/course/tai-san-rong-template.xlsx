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pps\1. Thanh\1. Work\1. Money Mom Sharing\3. Khóa học\6. Udemy\1. Khóa TCCN AZ nguoi di lam\Tai lieu\"/>
    </mc:Choice>
  </mc:AlternateContent>
  <bookViews>
    <workbookView xWindow="-108" yWindow="-108" windowWidth="19416" windowHeight="10416"/>
  </bookViews>
  <sheets>
    <sheet name="Tài sản ròng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6" i="2"/>
  <c r="D25" i="2" s="1"/>
  <c r="B20" i="2"/>
  <c r="B13" i="2"/>
  <c r="B11" i="2"/>
  <c r="B6" i="2"/>
  <c r="B25" i="2" l="1"/>
  <c r="B26" i="2" s="1"/>
</calcChain>
</file>

<file path=xl/sharedStrings.xml><?xml version="1.0" encoding="utf-8"?>
<sst xmlns="http://schemas.openxmlformats.org/spreadsheetml/2006/main" count="39" uniqueCount="38">
  <si>
    <t>Tiền mặt</t>
  </si>
  <si>
    <t>Tiền và tương đương tiền</t>
  </si>
  <si>
    <t>Chứng chỉ tiền gửi</t>
  </si>
  <si>
    <t>Tiền gửi thanh toán Ngân hàng</t>
  </si>
  <si>
    <t>Tiền gửi Ngân hàng có kỳ hạn (Sổ tiết kiệm)</t>
  </si>
  <si>
    <t>Tài sản hữu hình</t>
  </si>
  <si>
    <t>Tài sản tài chính</t>
  </si>
  <si>
    <t>Các khoản phải thu</t>
  </si>
  <si>
    <t>Tiền "ai đó" đang nợ bạn (và bạn có khả năng "đòi")</t>
  </si>
  <si>
    <t>Vàng</t>
  </si>
  <si>
    <t>Ngoại tệ</t>
  </si>
  <si>
    <t>Xe máy</t>
  </si>
  <si>
    <t>Ô tô</t>
  </si>
  <si>
    <t>Nhà ở</t>
  </si>
  <si>
    <t>Cổ phiếu</t>
  </si>
  <si>
    <t>Trái phiếu</t>
  </si>
  <si>
    <t>Chứng chỉ Quỹ</t>
  </si>
  <si>
    <t>Đồ có giá trị (có thể bán được)</t>
  </si>
  <si>
    <t>Bảo hiểm (tính phần hoàn lại)</t>
  </si>
  <si>
    <t>BẢNG TÍNH TÀI SẢN RÒNG CÁ NHÂN</t>
  </si>
  <si>
    <t>(đơn vị: VND)</t>
  </si>
  <si>
    <t>TÀI SẢN</t>
  </si>
  <si>
    <t>Giá trị</t>
  </si>
  <si>
    <t>NỢ PHẢI TRẢ</t>
  </si>
  <si>
    <t>Nợ ngắn hạn</t>
  </si>
  <si>
    <t>Nợ thẻ tín dụng</t>
  </si>
  <si>
    <t>Nợ dài hạn</t>
  </si>
  <si>
    <t>Vay mua ô tô</t>
  </si>
  <si>
    <t>…</t>
  </si>
  <si>
    <t>Vay "nóng" khác</t>
  </si>
  <si>
    <t>TỔNG TÀI SẢN</t>
  </si>
  <si>
    <t>TỔNG NỢ PHẢI TRẢ</t>
  </si>
  <si>
    <t>TÀI SẢN RÒNG</t>
  </si>
  <si>
    <t>Lưu ý: Giá trị tính tại thời điểm tính toán</t>
  </si>
  <si>
    <t>Vay mua nhà</t>
  </si>
  <si>
    <t>Thời điểm …</t>
  </si>
  <si>
    <t>Hóa đơn đến hạn chưa trả</t>
  </si>
  <si>
    <t>Vay tiền người thân, bạn bè, đồng nghiệp, … trong ngắn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</si>
</sst>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69B82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3" fillId="0" borderId="0" xfId="1" applyNumberFormat="1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2" xfId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64" fontId="3" fillId="0" borderId="0" xfId="1" applyNumberFormat="1" applyFont="1" applyAlignment="1">
      <alignment vertical="center" wrapText="1"/>
    </xf>
    <xf numFmtId="164" fontId="3" fillId="0" borderId="3" xfId="1" applyNumberFormat="1" applyFont="1" applyBorder="1" applyAlignment="1">
      <alignment vertical="center" wrapText="1"/>
    </xf>
    <xf numFmtId="164" fontId="3" fillId="0" borderId="6" xfId="1" applyNumberFormat="1" applyFont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164" fontId="2" fillId="2" borderId="11" xfId="1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64" fontId="2" fillId="2" borderId="12" xfId="1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164" fontId="2" fillId="3" borderId="8" xfId="1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 wrapText="1"/>
    </xf>
    <xf numFmtId="164" fontId="2" fillId="3" borderId="9" xfId="1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64" fontId="2" fillId="3" borderId="3" xfId="1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64" fontId="2" fillId="2" borderId="3" xfId="1" applyNumberFormat="1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164" fontId="2" fillId="4" borderId="5" xfId="1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69B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6" sqref="B16"/>
    </sheetView>
  </sheetViews>
  <sheetFormatPr defaultColWidth="8.77734375" defaultRowHeight="13.8" x14ac:dyDescent="0.3"/>
  <cols>
    <col min="1" max="1" width="43.5546875" style="1" bestFit="1" customWidth="1"/>
    <col min="2" max="2" width="12.44140625" style="5" bestFit="1" customWidth="1"/>
    <col min="3" max="3" width="37.44140625" style="1" customWidth="1"/>
    <col min="4" max="4" width="12.6640625" style="11" customWidth="1"/>
    <col min="5" max="16384" width="8.77734375" style="1"/>
  </cols>
  <sheetData>
    <row r="1" spans="1:4" ht="37.950000000000003" customHeight="1" x14ac:dyDescent="0.3">
      <c r="A1" s="32" t="s">
        <v>19</v>
      </c>
      <c r="B1" s="32"/>
      <c r="C1" s="32"/>
      <c r="D1" s="32"/>
    </row>
    <row r="2" spans="1:4" ht="19.05" customHeight="1" x14ac:dyDescent="0.3">
      <c r="A2" s="33" t="s">
        <v>35</v>
      </c>
      <c r="B2" s="33"/>
      <c r="C2" s="33"/>
      <c r="D2" s="33"/>
    </row>
    <row r="3" spans="1:4" x14ac:dyDescent="0.3">
      <c r="C3" s="34" t="s">
        <v>20</v>
      </c>
      <c r="D3" s="34"/>
    </row>
    <row r="4" spans="1:4" ht="14.4" thickBot="1" x14ac:dyDescent="0.35">
      <c r="B4" s="6"/>
    </row>
    <row r="5" spans="1:4" s="3" customFormat="1" ht="22.05" customHeight="1" thickTop="1" x14ac:dyDescent="0.3">
      <c r="A5" s="14" t="s">
        <v>21</v>
      </c>
      <c r="B5" s="15" t="s">
        <v>22</v>
      </c>
      <c r="C5" s="16" t="s">
        <v>23</v>
      </c>
      <c r="D5" s="17" t="s">
        <v>22</v>
      </c>
    </row>
    <row r="6" spans="1:4" s="4" customFormat="1" ht="18" customHeight="1" x14ac:dyDescent="0.3">
      <c r="A6" s="18" t="s">
        <v>1</v>
      </c>
      <c r="B6" s="19">
        <f>SUM(B7:B10)</f>
        <v>53000000</v>
      </c>
      <c r="C6" s="20" t="s">
        <v>24</v>
      </c>
      <c r="D6" s="21">
        <f>SUM(D7:D10)</f>
        <v>30000000</v>
      </c>
    </row>
    <row r="7" spans="1:4" ht="18" customHeight="1" x14ac:dyDescent="0.3">
      <c r="A7" s="7" t="s">
        <v>0</v>
      </c>
      <c r="B7" s="8">
        <v>3000000</v>
      </c>
      <c r="C7" s="9" t="s">
        <v>36</v>
      </c>
      <c r="D7" s="12"/>
    </row>
    <row r="8" spans="1:4" ht="18" customHeight="1" x14ac:dyDescent="0.3">
      <c r="A8" s="7" t="s">
        <v>3</v>
      </c>
      <c r="B8" s="8">
        <v>50000000</v>
      </c>
      <c r="C8" s="9" t="s">
        <v>25</v>
      </c>
      <c r="D8" s="12">
        <v>30000000</v>
      </c>
    </row>
    <row r="9" spans="1:4" ht="33.450000000000003" customHeight="1" x14ac:dyDescent="0.3">
      <c r="A9" s="7" t="s">
        <v>4</v>
      </c>
      <c r="B9" s="8"/>
      <c r="C9" s="9" t="s">
        <v>37</v>
      </c>
      <c r="D9" s="12"/>
    </row>
    <row r="10" spans="1:4" ht="18" customHeight="1" x14ac:dyDescent="0.3">
      <c r="A10" s="7" t="s">
        <v>2</v>
      </c>
      <c r="B10" s="8"/>
      <c r="C10" s="9" t="s">
        <v>29</v>
      </c>
      <c r="D10" s="12"/>
    </row>
    <row r="11" spans="1:4" s="4" customFormat="1" ht="18" customHeight="1" x14ac:dyDescent="0.3">
      <c r="A11" s="22" t="s">
        <v>7</v>
      </c>
      <c r="B11" s="23">
        <f>B12</f>
        <v>0</v>
      </c>
      <c r="C11" s="24" t="s">
        <v>26</v>
      </c>
      <c r="D11" s="25">
        <f>SUM(D12:D14)</f>
        <v>0</v>
      </c>
    </row>
    <row r="12" spans="1:4" ht="18" customHeight="1" x14ac:dyDescent="0.3">
      <c r="A12" s="7" t="s">
        <v>8</v>
      </c>
      <c r="B12" s="8"/>
      <c r="C12" s="9" t="s">
        <v>34</v>
      </c>
      <c r="D12" s="12"/>
    </row>
    <row r="13" spans="1:4" ht="18" customHeight="1" x14ac:dyDescent="0.3">
      <c r="A13" s="22" t="s">
        <v>5</v>
      </c>
      <c r="B13" s="23">
        <f>SUM(B14:B19)</f>
        <v>4000000</v>
      </c>
      <c r="C13" s="9" t="s">
        <v>27</v>
      </c>
      <c r="D13" s="12"/>
    </row>
    <row r="14" spans="1:4" ht="18" customHeight="1" x14ac:dyDescent="0.3">
      <c r="A14" s="7" t="s">
        <v>9</v>
      </c>
      <c r="B14" s="8">
        <v>4000000</v>
      </c>
      <c r="C14" s="9" t="s">
        <v>28</v>
      </c>
      <c r="D14" s="12"/>
    </row>
    <row r="15" spans="1:4" ht="18" customHeight="1" x14ac:dyDescent="0.3">
      <c r="A15" s="7" t="s">
        <v>10</v>
      </c>
      <c r="B15" s="8"/>
      <c r="C15" s="9"/>
      <c r="D15" s="12"/>
    </row>
    <row r="16" spans="1:4" ht="18" customHeight="1" x14ac:dyDescent="0.3">
      <c r="A16" s="7" t="s">
        <v>17</v>
      </c>
      <c r="B16" s="8"/>
      <c r="C16" s="9"/>
      <c r="D16" s="12"/>
    </row>
    <row r="17" spans="1:4" ht="18" customHeight="1" x14ac:dyDescent="0.3">
      <c r="A17" s="7" t="s">
        <v>11</v>
      </c>
      <c r="B17" s="8"/>
      <c r="C17" s="9"/>
      <c r="D17" s="12"/>
    </row>
    <row r="18" spans="1:4" ht="18" customHeight="1" x14ac:dyDescent="0.3">
      <c r="A18" s="7" t="s">
        <v>12</v>
      </c>
      <c r="B18" s="8"/>
      <c r="C18" s="9"/>
      <c r="D18" s="12"/>
    </row>
    <row r="19" spans="1:4" ht="18" customHeight="1" x14ac:dyDescent="0.3">
      <c r="A19" s="7" t="s">
        <v>13</v>
      </c>
      <c r="B19" s="8"/>
      <c r="C19" s="9"/>
      <c r="D19" s="12"/>
    </row>
    <row r="20" spans="1:4" ht="18" customHeight="1" x14ac:dyDescent="0.3">
      <c r="A20" s="22" t="s">
        <v>6</v>
      </c>
      <c r="B20" s="23">
        <f>SUM(B21:B24)</f>
        <v>0</v>
      </c>
      <c r="C20" s="9"/>
      <c r="D20" s="12"/>
    </row>
    <row r="21" spans="1:4" ht="18" customHeight="1" x14ac:dyDescent="0.3">
      <c r="A21" s="7" t="s">
        <v>14</v>
      </c>
      <c r="B21" s="8"/>
      <c r="C21" s="9"/>
      <c r="D21" s="12"/>
    </row>
    <row r="22" spans="1:4" ht="18" customHeight="1" x14ac:dyDescent="0.3">
      <c r="A22" s="7" t="s">
        <v>15</v>
      </c>
      <c r="B22" s="8"/>
      <c r="C22" s="9"/>
      <c r="D22" s="12"/>
    </row>
    <row r="23" spans="1:4" ht="18" customHeight="1" x14ac:dyDescent="0.3">
      <c r="A23" s="7" t="s">
        <v>16</v>
      </c>
      <c r="B23" s="8"/>
      <c r="C23" s="9"/>
      <c r="D23" s="12"/>
    </row>
    <row r="24" spans="1:4" ht="18" customHeight="1" x14ac:dyDescent="0.3">
      <c r="A24" s="7" t="s">
        <v>18</v>
      </c>
      <c r="B24" s="8"/>
      <c r="C24" s="9"/>
      <c r="D24" s="12"/>
    </row>
    <row r="25" spans="1:4" ht="18" customHeight="1" x14ac:dyDescent="0.3">
      <c r="A25" s="26" t="s">
        <v>30</v>
      </c>
      <c r="B25" s="27">
        <f>B6+B11+B13+B20</f>
        <v>57000000</v>
      </c>
      <c r="C25" s="28" t="s">
        <v>31</v>
      </c>
      <c r="D25" s="29">
        <f>D6+D11</f>
        <v>30000000</v>
      </c>
    </row>
    <row r="26" spans="1:4" ht="18" customHeight="1" thickBot="1" x14ac:dyDescent="0.35">
      <c r="A26" s="30" t="s">
        <v>32</v>
      </c>
      <c r="B26" s="31">
        <f>B25-D25</f>
        <v>27000000</v>
      </c>
      <c r="C26" s="10"/>
      <c r="D26" s="13"/>
    </row>
    <row r="27" spans="1:4" ht="14.4" thickTop="1" x14ac:dyDescent="0.3"/>
    <row r="28" spans="1:4" x14ac:dyDescent="0.3">
      <c r="A28" s="2" t="s">
        <v>33</v>
      </c>
    </row>
  </sheetData>
  <mergeCells count="3">
    <mergeCell ref="A1:D1"/>
    <mergeCell ref="A2:D2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sản ròng</vt:lpstr>
    </vt:vector>
  </TitlesOfParts>
  <Company>World Maritime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Thanh Le</dc:creator>
  <cp:lastModifiedBy>Phuong Thanh Le</cp:lastModifiedBy>
  <dcterms:created xsi:type="dcterms:W3CDTF">2023-08-29T09:01:09Z</dcterms:created>
  <dcterms:modified xsi:type="dcterms:W3CDTF">2023-11-11T04:00:46Z</dcterms:modified>
</cp:coreProperties>
</file>