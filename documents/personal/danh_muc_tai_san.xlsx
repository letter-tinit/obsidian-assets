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nh mục tài sản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<sst xmlns="http://schemas.openxmlformats.org/spreadsheetml/2006/main" uniqueCount="44">
  <si>
    <t>THEO DÕI CHI TIẾT DANH MỤC TÀI SẢN</t>
  </si>
  <si>
    <t>Thời điểm …</t>
  </si>
  <si>
    <t>STT</t>
  </si>
  <si>
    <t>Nội dung</t>
  </si>
  <si>
    <t>Loại hình</t>
  </si>
  <si>
    <t>Ngày bắt đầu</t>
  </si>
  <si>
    <t>Ngày đến hạn</t>
  </si>
  <si>
    <t>Giá vốn (VND)</t>
  </si>
  <si>
    <t>Giá hiện tại (VND)</t>
  </si>
  <si>
    <t>Lãi/Lỗ tạm tính</t>
  </si>
  <si>
    <t>Mục tiêu</t>
  </si>
  <si>
    <t>Ghi chú</t>
  </si>
  <si>
    <t>Tiền mặt</t>
  </si>
  <si>
    <t>Tiền gửi thanh toán</t>
  </si>
  <si>
    <t>Tiền gửi tiết kiệm Ngân hàng A</t>
  </si>
  <si>
    <t>Tích lũy</t>
  </si>
  <si>
    <t>Đóng học</t>
  </si>
  <si>
    <t>Tiền gửi tiết kiệm Ngân hàng B</t>
  </si>
  <si>
    <t>Mua nhà</t>
  </si>
  <si>
    <t>Gửi tích lũy qua app C</t>
  </si>
  <si>
    <t>…</t>
  </si>
  <si>
    <t>Vàng</t>
  </si>
  <si>
    <t>Bảo hiểm sức khỏe Công ty A</t>
  </si>
  <si>
    <t>Bảo vệ</t>
  </si>
  <si>
    <t>04/23</t>
  </si>
  <si>
    <t>04/24</t>
  </si>
  <si>
    <t>Bảo hiểm nhân thọ Công ty B</t>
  </si>
  <si>
    <t>01/18</t>
  </si>
  <si>
    <t>01/28</t>
  </si>
  <si>
    <t>Bảo vệ + Tích lũy</t>
  </si>
  <si>
    <t>Cổ phiếu A</t>
  </si>
  <si>
    <t xml:space="preserve">Đầu tư </t>
  </si>
  <si>
    <t>03/21</t>
  </si>
  <si>
    <t>Cổ phiếu B</t>
  </si>
  <si>
    <t>05/21</t>
  </si>
  <si>
    <t>Cổ phiếu C</t>
  </si>
  <si>
    <t>07/21</t>
  </si>
  <si>
    <t>Quỹ mở A</t>
  </si>
  <si>
    <t>09/22</t>
  </si>
  <si>
    <t>Quỹ mở B</t>
  </si>
  <si>
    <t>12/22</t>
  </si>
  <si>
    <t>Nghỉ hưu</t>
  </si>
  <si>
    <t xml:space="preserve">Đất </t>
  </si>
  <si>
    <t xml:space="preserve">Cho vay A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</si>
</sst>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 &quot;* (#,##0);&quot; &quot;* &quot;-&quot;??&quot; &quot;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1"/>
      <color indexed="8"/>
      <name val="Times New Roman"/>
    </font>
    <font>
      <sz val="11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0" fontId="3" fillId="3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4" fillId="4" borderId="7" applyNumberFormat="1" applyFont="1" applyFill="1" applyBorder="1" applyAlignment="1" applyProtection="0">
      <alignment horizontal="center" vertical="center" wrapText="1"/>
    </xf>
    <xf numFmtId="0" fontId="5" fillId="2" borderId="8" applyNumberFormat="1" applyFont="1" applyFill="1" applyBorder="1" applyAlignment="1" applyProtection="0">
      <alignment horizontal="center" vertical="center" wrapText="1"/>
    </xf>
    <xf numFmtId="49" fontId="0" fillId="2" borderId="8" applyNumberFormat="1" applyFont="1" applyFill="1" applyBorder="1" applyAlignment="1" applyProtection="0">
      <alignment vertical="center" wrapText="1"/>
    </xf>
    <xf numFmtId="0" fontId="4" fillId="2" borderId="8" applyNumberFormat="0" applyFont="1" applyFill="1" applyBorder="1" applyAlignment="1" applyProtection="0">
      <alignment vertical="center" wrapText="1"/>
    </xf>
    <xf numFmtId="0" fontId="4" fillId="2" borderId="8" applyNumberFormat="0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5" fillId="2" borderId="9" applyNumberFormat="1" applyFont="1" applyFill="1" applyBorder="1" applyAlignment="1" applyProtection="0">
      <alignment horizontal="center" vertical="center" wrapText="1"/>
    </xf>
    <xf numFmtId="49" fontId="0" fillId="2" borderId="9" applyNumberFormat="1" applyFont="1" applyFill="1" applyBorder="1" applyAlignment="1" applyProtection="0">
      <alignment vertical="center" wrapText="1"/>
    </xf>
    <xf numFmtId="0" fontId="4" fillId="2" borderId="9" applyNumberFormat="0" applyFont="1" applyFill="1" applyBorder="1" applyAlignment="1" applyProtection="0">
      <alignment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59" fontId="0" fillId="2" borderId="9" applyNumberFormat="1" applyFont="1" applyFill="1" applyBorder="1" applyAlignment="1" applyProtection="0">
      <alignment vertical="center" wrapText="1"/>
    </xf>
    <xf numFmtId="9" fontId="0" fillId="2" borderId="9" applyNumberFormat="1" applyFont="1" applyFill="1" applyBorder="1" applyAlignment="1" applyProtection="0">
      <alignment vertical="center" wrapText="1"/>
    </xf>
    <xf numFmtId="0" fontId="5" fillId="2" borderId="10" applyNumberFormat="1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59" fontId="0" fillId="2" borderId="10" applyNumberFormat="1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59" fontId="0" fillId="2" borderId="11" applyNumberFormat="1" applyFont="1" applyFill="1" applyBorder="1" applyAlignment="1" applyProtection="0">
      <alignment vertical="center" wrapText="1"/>
    </xf>
    <xf numFmtId="0" fontId="0" fillId="2" borderId="12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4b083"/>
      <rgbColor rgb="fffbe4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6"/>
  <sheetViews>
    <sheetView workbookViewId="0" showGridLines="0" defaultGridColor="1"/>
  </sheetViews>
  <sheetFormatPr defaultColWidth="8.83333" defaultRowHeight="13.8" customHeight="1" outlineLevelRow="0" outlineLevelCol="0"/>
  <cols>
    <col min="1" max="1" width="6.17188" style="1" customWidth="1"/>
    <col min="2" max="2" width="26" style="1" customWidth="1"/>
    <col min="3" max="3" width="11" style="1" customWidth="1"/>
    <col min="4" max="5" width="15.1719" style="1" customWidth="1"/>
    <col min="6" max="6" width="14.8516" style="1" customWidth="1"/>
    <col min="7" max="7" width="17.1719" style="1" customWidth="1"/>
    <col min="8" max="8" width="13.8516" style="1" customWidth="1"/>
    <col min="9" max="9" width="18.5" style="1" customWidth="1"/>
    <col min="10" max="10" width="11.6719" style="1" customWidth="1"/>
    <col min="11" max="16384" width="8.85156" style="1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36" customHeight="1">
      <c r="A2" t="s" s="3">
        <v>0</v>
      </c>
      <c r="B2" s="4"/>
      <c r="C2" s="4"/>
      <c r="D2" s="4"/>
      <c r="E2" s="4"/>
      <c r="F2" s="4"/>
      <c r="G2" s="4"/>
      <c r="H2" s="4"/>
      <c r="I2" s="4"/>
      <c r="J2" s="5"/>
    </row>
    <row r="3" ht="19.95" customHeight="1">
      <c r="A3" t="s" s="6">
        <v>1</v>
      </c>
      <c r="B3" s="7"/>
      <c r="C3" s="7"/>
      <c r="D3" s="7"/>
      <c r="E3" s="7"/>
      <c r="F3" s="7"/>
      <c r="G3" s="7"/>
      <c r="H3" s="7"/>
      <c r="I3" s="7"/>
      <c r="J3" s="7"/>
    </row>
    <row r="4" ht="14.4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ht="26.55" customHeight="1">
      <c r="A5" t="s" s="9">
        <v>2</v>
      </c>
      <c r="B5" t="s" s="9">
        <v>3</v>
      </c>
      <c r="C5" t="s" s="9">
        <v>4</v>
      </c>
      <c r="D5" t="s" s="9">
        <v>5</v>
      </c>
      <c r="E5" t="s" s="9">
        <v>6</v>
      </c>
      <c r="F5" t="s" s="9">
        <v>7</v>
      </c>
      <c r="G5" t="s" s="9">
        <v>8</v>
      </c>
      <c r="H5" t="s" s="9">
        <v>9</v>
      </c>
      <c r="I5" t="s" s="9">
        <v>10</v>
      </c>
      <c r="J5" t="s" s="9">
        <v>11</v>
      </c>
    </row>
    <row r="6" ht="20.55" customHeight="1">
      <c r="A6" s="10">
        <v>1</v>
      </c>
      <c r="B6" t="s" s="11">
        <v>12</v>
      </c>
      <c r="C6" s="12"/>
      <c r="D6" s="13"/>
      <c r="E6" s="13"/>
      <c r="F6" s="12"/>
      <c r="G6" s="12"/>
      <c r="H6" t="str" s="14" cm="1">
        <f t="array" ref="H6">_xlfn.IFERROR((G6-F6)/F6,"")</f>
      </c>
      <c r="I6" s="12"/>
      <c r="J6" s="12"/>
    </row>
    <row r="7" ht="20.55" customHeight="1">
      <c r="A7" s="15">
        <v>2</v>
      </c>
      <c r="B7" t="s" s="16">
        <v>13</v>
      </c>
      <c r="C7" s="17"/>
      <c r="D7" s="18"/>
      <c r="E7" s="18"/>
      <c r="F7" s="17"/>
      <c r="G7" s="17"/>
      <c r="H7" t="str" s="19" cm="1">
        <f t="array" ref="H7">_xlfn.IFERROR((G7-F7)/F7,"")</f>
      </c>
      <c r="I7" s="17"/>
      <c r="J7" s="17"/>
    </row>
    <row r="8" ht="20.55" customHeight="1">
      <c r="A8" s="15">
        <v>3</v>
      </c>
      <c r="B8" t="s" s="16">
        <v>14</v>
      </c>
      <c r="C8" t="s" s="16">
        <v>15</v>
      </c>
      <c r="D8" s="19"/>
      <c r="E8" s="19"/>
      <c r="F8" s="20"/>
      <c r="G8" s="20"/>
      <c r="H8" t="str" s="19" cm="1">
        <f t="array" ref="H8">_xlfn.IFERROR((G8-F8)/F8,"")</f>
      </c>
      <c r="I8" t="s" s="16">
        <v>16</v>
      </c>
      <c r="J8" s="19"/>
    </row>
    <row r="9" ht="20.55" customHeight="1">
      <c r="A9" s="15">
        <v>4</v>
      </c>
      <c r="B9" t="s" s="16">
        <v>17</v>
      </c>
      <c r="C9" t="s" s="16">
        <v>15</v>
      </c>
      <c r="D9" s="19"/>
      <c r="E9" s="19"/>
      <c r="F9" s="20"/>
      <c r="G9" s="20"/>
      <c r="H9" t="str" s="19" cm="1">
        <f t="array" ref="H9">_xlfn.IFERROR((G9-F9)/F9,"")</f>
      </c>
      <c r="I9" t="s" s="16">
        <v>18</v>
      </c>
      <c r="J9" s="19"/>
    </row>
    <row r="10" ht="20.55" customHeight="1">
      <c r="A10" s="15">
        <v>5</v>
      </c>
      <c r="B10" t="s" s="16">
        <v>19</v>
      </c>
      <c r="C10" t="s" s="16">
        <v>15</v>
      </c>
      <c r="D10" s="19"/>
      <c r="E10" s="19"/>
      <c r="F10" s="20"/>
      <c r="G10" s="20"/>
      <c r="H10" t="str" s="19" cm="1">
        <f t="array" ref="H10">_xlfn.IFERROR((G10-F10)/F10,"")</f>
      </c>
      <c r="I10" t="s" s="16">
        <v>20</v>
      </c>
      <c r="J10" s="19"/>
    </row>
    <row r="11" ht="20.55" customHeight="1">
      <c r="A11" s="15">
        <v>6</v>
      </c>
      <c r="B11" t="s" s="16">
        <v>21</v>
      </c>
      <c r="C11" t="s" s="16">
        <v>15</v>
      </c>
      <c r="D11" s="19"/>
      <c r="E11" s="19"/>
      <c r="F11" s="20"/>
      <c r="G11" s="20"/>
      <c r="H11" t="str" s="19" cm="1">
        <f t="array" ref="H11">_xlfn.IFERROR((G11-F11)/F11,"")</f>
      </c>
      <c r="I11" s="19"/>
      <c r="J11" s="19"/>
    </row>
    <row r="12" ht="20.55" customHeight="1">
      <c r="A12" s="15">
        <v>7</v>
      </c>
      <c r="B12" t="s" s="16">
        <v>22</v>
      </c>
      <c r="C12" t="s" s="16">
        <v>23</v>
      </c>
      <c r="D12" t="s" s="16">
        <v>24</v>
      </c>
      <c r="E12" t="s" s="16">
        <v>25</v>
      </c>
      <c r="F12" s="20">
        <v>6000000</v>
      </c>
      <c r="G12" s="20" cm="1">
        <f t="array" ref="G12">F12</f>
        <v>6000000</v>
      </c>
      <c r="H12" s="21" cm="1">
        <f t="array" ref="H12">_xlfn.IFERROR((G12-F12)/F12,"")</f>
        <v>0</v>
      </c>
      <c r="I12" s="19"/>
      <c r="J12" s="19"/>
    </row>
    <row r="13" ht="20.55" customHeight="1">
      <c r="A13" s="15">
        <v>8</v>
      </c>
      <c r="B13" t="s" s="16">
        <v>26</v>
      </c>
      <c r="C13" t="s" s="16">
        <v>23</v>
      </c>
      <c r="D13" t="s" s="16">
        <v>27</v>
      </c>
      <c r="E13" t="s" s="16">
        <v>28</v>
      </c>
      <c r="F13" s="20">
        <v>55000000</v>
      </c>
      <c r="G13" s="20" cm="1">
        <f t="array" ref="G13">F13</f>
        <v>55000000</v>
      </c>
      <c r="H13" s="21" cm="1">
        <f t="array" ref="H13">_xlfn.IFERROR((G13-F13)/F13,"")</f>
        <v>0</v>
      </c>
      <c r="I13" t="s" s="16">
        <v>29</v>
      </c>
      <c r="J13" s="19"/>
    </row>
    <row r="14" ht="20.55" customHeight="1">
      <c r="A14" s="15">
        <v>9</v>
      </c>
      <c r="B14" t="s" s="16">
        <v>30</v>
      </c>
      <c r="C14" t="s" s="16">
        <v>31</v>
      </c>
      <c r="D14" t="s" s="16">
        <v>32</v>
      </c>
      <c r="E14" s="19"/>
      <c r="F14" s="20">
        <v>1000000000</v>
      </c>
      <c r="G14" s="20">
        <v>900000000</v>
      </c>
      <c r="H14" s="21" cm="1">
        <f t="array" ref="H14">_xlfn.IFERROR((G14-F14)/F14,"")</f>
        <v>-0.1</v>
      </c>
      <c r="I14" s="19"/>
      <c r="J14" s="19"/>
    </row>
    <row r="15" ht="20.55" customHeight="1">
      <c r="A15" s="15">
        <v>10</v>
      </c>
      <c r="B15" t="s" s="16">
        <v>33</v>
      </c>
      <c r="C15" t="s" s="16">
        <v>31</v>
      </c>
      <c r="D15" t="s" s="16">
        <v>34</v>
      </c>
      <c r="E15" s="19"/>
      <c r="F15" s="20"/>
      <c r="G15" s="20"/>
      <c r="H15" t="str" s="19" cm="1">
        <f t="array" ref="H15">_xlfn.IFERROR((G15-F15)/F15,"")</f>
      </c>
      <c r="I15" s="19"/>
      <c r="J15" s="19"/>
    </row>
    <row r="16" ht="20.55" customHeight="1">
      <c r="A16" s="15">
        <v>11</v>
      </c>
      <c r="B16" t="s" s="16">
        <v>35</v>
      </c>
      <c r="C16" t="s" s="16">
        <v>31</v>
      </c>
      <c r="D16" t="s" s="16">
        <v>36</v>
      </c>
      <c r="E16" s="19"/>
      <c r="F16" s="20"/>
      <c r="G16" s="20"/>
      <c r="H16" t="str" s="19" cm="1">
        <f t="array" ref="H16">_xlfn.IFERROR((G16-F16)/F16,"")</f>
      </c>
      <c r="I16" s="19"/>
      <c r="J16" s="19"/>
    </row>
    <row r="17" ht="20.55" customHeight="1">
      <c r="A17" s="15">
        <v>12</v>
      </c>
      <c r="B17" t="s" s="16">
        <v>37</v>
      </c>
      <c r="C17" t="s" s="16">
        <v>31</v>
      </c>
      <c r="D17" t="s" s="16">
        <v>38</v>
      </c>
      <c r="E17" s="19"/>
      <c r="F17" s="20"/>
      <c r="G17" s="20"/>
      <c r="H17" t="str" s="19" cm="1">
        <f t="array" ref="H17">_xlfn.IFERROR((G17-F17)/F17,"")</f>
      </c>
      <c r="I17" s="19"/>
      <c r="J17" s="19"/>
    </row>
    <row r="18" ht="20.55" customHeight="1">
      <c r="A18" s="15">
        <v>13</v>
      </c>
      <c r="B18" t="s" s="16">
        <v>39</v>
      </c>
      <c r="C18" t="s" s="16">
        <v>31</v>
      </c>
      <c r="D18" t="s" s="16">
        <v>40</v>
      </c>
      <c r="E18" s="19"/>
      <c r="F18" s="20"/>
      <c r="G18" s="20"/>
      <c r="H18" t="str" s="19" cm="1">
        <f t="array" ref="H18">_xlfn.IFERROR((G18-F18)/F18,"")</f>
      </c>
      <c r="I18" t="s" s="16">
        <v>41</v>
      </c>
      <c r="J18" s="19"/>
    </row>
    <row r="19" ht="20.55" customHeight="1">
      <c r="A19" s="15">
        <v>14</v>
      </c>
      <c r="B19" t="s" s="16">
        <v>42</v>
      </c>
      <c r="C19" t="s" s="16">
        <v>31</v>
      </c>
      <c r="D19" s="19"/>
      <c r="E19" s="19"/>
      <c r="F19" s="20"/>
      <c r="G19" s="20"/>
      <c r="H19" t="str" s="19" cm="1">
        <f t="array" ref="H19">_xlfn.IFERROR((G19-F19)/F19,"")</f>
      </c>
      <c r="I19" s="19"/>
      <c r="J19" s="19"/>
    </row>
    <row r="20" ht="20.55" customHeight="1">
      <c r="A20" s="15">
        <v>15</v>
      </c>
      <c r="B20" t="s" s="16">
        <v>43</v>
      </c>
      <c r="C20" s="19"/>
      <c r="D20" s="19"/>
      <c r="E20" s="19"/>
      <c r="F20" s="20"/>
      <c r="G20" s="20"/>
      <c r="H20" t="str" s="19" cm="1">
        <f t="array" ref="H20">_xlfn.IFERROR((G20-F20)/F20,"")</f>
      </c>
      <c r="I20" s="19"/>
      <c r="J20" s="19"/>
    </row>
    <row r="21" ht="20.55" customHeight="1">
      <c r="A21" s="15">
        <v>16</v>
      </c>
      <c r="B21" s="19"/>
      <c r="C21" s="19"/>
      <c r="D21" s="19"/>
      <c r="E21" s="19"/>
      <c r="F21" s="20"/>
      <c r="G21" s="20"/>
      <c r="H21" t="str" s="19" cm="1">
        <f t="array" ref="H21">_xlfn.IFERROR((G21-F21)/F21,"")</f>
      </c>
      <c r="I21" s="19"/>
      <c r="J21" s="19"/>
    </row>
    <row r="22" ht="20.55" customHeight="1">
      <c r="A22" s="15">
        <v>17</v>
      </c>
      <c r="B22" s="19"/>
      <c r="C22" s="19"/>
      <c r="D22" s="19"/>
      <c r="E22" s="19"/>
      <c r="F22" s="20"/>
      <c r="G22" s="20"/>
      <c r="H22" t="str" s="19" cm="1">
        <f t="array" ref="H22">_xlfn.IFERROR((G22-F22)/F22,"")</f>
      </c>
      <c r="I22" s="19"/>
      <c r="J22" s="19"/>
    </row>
    <row r="23" ht="20.55" customHeight="1">
      <c r="A23" s="15">
        <v>18</v>
      </c>
      <c r="B23" s="19"/>
      <c r="C23" s="19"/>
      <c r="D23" s="19"/>
      <c r="E23" s="19"/>
      <c r="F23" s="20"/>
      <c r="G23" s="20"/>
      <c r="H23" t="str" s="19" cm="1">
        <f t="array" ref="H23">_xlfn.IFERROR((G23-F23)/F23,"")</f>
      </c>
      <c r="I23" s="19"/>
      <c r="J23" s="19"/>
    </row>
    <row r="24" ht="20.55" customHeight="1">
      <c r="A24" s="22">
        <v>19</v>
      </c>
      <c r="B24" s="23"/>
      <c r="C24" s="23"/>
      <c r="D24" s="23"/>
      <c r="E24" s="24"/>
      <c r="F24" s="23"/>
      <c r="G24" s="23"/>
      <c r="H24" t="str" s="23" cm="1">
        <f t="array" ref="H24">_xlfn.IFERROR((G24-F24)/F24,"")</f>
      </c>
      <c r="I24" s="23"/>
      <c r="J24" s="23"/>
    </row>
    <row r="25" ht="14.4" customHeight="1">
      <c r="A25" s="25"/>
      <c r="B25" s="25"/>
      <c r="C25" s="25"/>
      <c r="D25" s="25"/>
      <c r="E25" s="26"/>
      <c r="F25" s="25"/>
      <c r="G25" s="25"/>
      <c r="H25" t="str" s="25" cm="1">
        <f t="array" ref="H25">_xlfn.IFERROR((G25-F25)/F25,"")</f>
      </c>
      <c r="I25" s="25"/>
      <c r="J25" s="25"/>
    </row>
    <row r="26" ht="14.5" customHeight="1">
      <c r="A26" s="27"/>
      <c r="B26" s="27"/>
      <c r="C26" s="27"/>
      <c r="D26" s="27"/>
      <c r="E26" s="27"/>
      <c r="F26" s="27"/>
      <c r="G26" s="27"/>
      <c r="H26" t="str" s="27" cm="1">
        <f t="array" ref="H26">_xlfn.IFERROR((G26-F26)/F26,"")</f>
      </c>
      <c r="I26" s="27"/>
      <c r="J26" s="27"/>
    </row>
  </sheetData>
  <mergeCells count="2">
    <mergeCell ref="A2:J2"/>
    <mergeCell ref="A3:J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