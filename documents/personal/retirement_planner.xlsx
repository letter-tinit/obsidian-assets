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5F5BD509-9B20-4EAF-8482-AA2F2C19CB30}" xr6:coauthVersionLast="47" xr6:coauthVersionMax="47" xr10:uidLastSave="{00000000-0000-0000-0000-000000000000}"/>
  <bookViews>
    <workbookView xWindow="-108" yWindow="-108" windowWidth="23256" windowHeight="12456" tabRatio="500" xr2:uid="{00000000-000D-0000-FFFF-FFFF00000000}"/>
  </bookViews>
  <sheets>
    <sheet name="Retirement Planner"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9" i="1" l="1"/>
  <c r="E25" i="1"/>
  <c r="E24" i="1"/>
  <c r="E23" i="1"/>
  <c r="C11" i="1"/>
  <c r="C27" i="1" s="1"/>
  <c r="C10" i="1"/>
  <c r="E21" i="1" s="1"/>
  <c r="E22" i="1" l="1"/>
  <c r="C12" i="1"/>
  <c r="C13" i="1" s="1"/>
  <c r="C32" i="1" s="1"/>
  <c r="E18" i="1"/>
  <c r="E19" i="1"/>
  <c r="E20" i="1"/>
  <c r="E29" i="1" l="1"/>
  <c r="C33" i="1" s="1"/>
  <c r="C34" i="1" s="1"/>
  <c r="C35" i="1" l="1"/>
  <c r="C36" i="1" s="1"/>
</calcChain>
</file>

<file path=xl/sharedStrings.xml><?xml version="1.0" encoding="utf-8"?>
<sst xmlns="http://schemas.openxmlformats.org/spreadsheetml/2006/main" count="126" uniqueCount="101">
  <si>
    <t>🌅  RETIREMENT PLANNER — KẾ HOẠCH CHUẨN BỊ NGHỈ HƯU</t>
  </si>
  <si>
    <t>Xác định mục tiêu — đánh giá hiện tại — lên kế hoạch bổ sung phần còn thiếu</t>
  </si>
  <si>
    <t>I — NHU CẦU TUỔI NGHỈ HƯU</t>
  </si>
  <si>
    <t>Tuổi hiện tại</t>
  </si>
  <si>
    <t>tuổi</t>
  </si>
  <si>
    <t>Tuổi muốn nghỉ hưu</t>
  </si>
  <si>
    <t>Dự kiến sống đến tuổi</t>
  </si>
  <si>
    <t>Chi phí sinh hoạt mong muốn khi nghỉ hưu</t>
  </si>
  <si>
    <t>VNĐ/tháng</t>
  </si>
  <si>
    <t>Tính theo mức sống hiện tại — chưa tính lạm phát</t>
  </si>
  <si>
    <t>Tỷ lệ lạm phát dự kiến (%/năm)</t>
  </si>
  <si>
    <t>%/năm</t>
  </si>
  <si>
    <t>Lạm phát VN trung bình ~4-6%/năm</t>
  </si>
  <si>
    <t>Số năm còn lại đến nghỉ hưu</t>
  </si>
  <si>
    <t>năm</t>
  </si>
  <si>
    <t>Số năm sống sau nghỉ hưu</t>
  </si>
  <si>
    <t>Chi phí sinh hoạt/tháng (điều chỉnh lạm phát)</t>
  </si>
  <si>
    <t>VNĐ/tháng — giá trị tiền tệ tại thời điểm nghỉ hưu</t>
  </si>
  <si>
    <t>Tổng tiền cần có khi nghỉ hưu (ước tính)</t>
  </si>
  <si>
    <t>VNĐ — tổng chi phí × số năm sống sau nghỉ hưu</t>
  </si>
  <si>
    <t>II — HIỆN TẠI ĐÃ CÓ GÌ</t>
  </si>
  <si>
    <t>📋  Liệt kê các nguồn tài sản hiện có dự kiến dùng cho tuổi nghỉ hưu</t>
  </si>
  <si>
    <t>STT</t>
  </si>
  <si>
    <t>NGUỒN TÀI SẢN</t>
  </si>
  <si>
    <t>GIÁ TRỊ HIỆN TẠI (VNĐ)</t>
  </si>
  <si>
    <t>LÃI SUẤT/LỢI NHUẬN
KỲ VỌNG (%/NĂM)</t>
  </si>
  <si>
    <t>GIÁ TRỊ ƯỚC TÍNH
KHI NGHỈ HƯU (VNĐ)</t>
  </si>
  <si>
    <t>GHI CHÚ</t>
  </si>
  <si>
    <t>Tiền tiết kiệm ngân hàng</t>
  </si>
  <si>
    <t>Sổ tiết kiệm hiện tại</t>
  </si>
  <si>
    <t>Danh mục đầu tư quỹ mở</t>
  </si>
  <si>
    <t>DCA hàng tháng</t>
  </si>
  <si>
    <t>Cổ phiếu</t>
  </si>
  <si>
    <t>Bất động sản (giá trị ròng)</t>
  </si>
  <si>
    <t>Trừ dư nợ vay</t>
  </si>
  <si>
    <t>Vàng</t>
  </si>
  <si>
    <t>2 chỉ SJC</t>
  </si>
  <si>
    <t>Lương hưu dự kiến từ BHXH</t>
  </si>
  <si>
    <t>Kiểm tra số năm đóng BHXH để ước tính mức lương hưu</t>
  </si>
  <si>
    <t>Tổng lương hưu BHXH quy đổi (ước tính)</t>
  </si>
  <si>
    <t>VNĐ</t>
  </si>
  <si>
    <t>Lương hưu/tháng × 12 tháng × Số năm nghỉ hưu</t>
  </si>
  <si>
    <t>Lãi suất đầu tư kỳ vọng (%/năm)</t>
  </si>
  <si>
    <t>Dùng để tính số tiền cần tích lũy/tháng (có tính lãi kép)</t>
  </si>
  <si>
    <t>TỔNG TÀI SẢN HIỆN TẠI</t>
  </si>
  <si>
    <t>→ Ước tính khi nghỉ hưu:</t>
  </si>
  <si>
    <t>III — PHẦN CÒN THIẾU &amp; KẾ HOẠCH BỔ SUNG</t>
  </si>
  <si>
    <t>Tổng tiền cần có khi nghỉ hưu</t>
  </si>
  <si>
    <t>VNĐ — từ Phần I</t>
  </si>
  <si>
    <t>Tài sản ước tính khi nghỉ hưu</t>
  </si>
  <si>
    <t>VNĐ — từ Phần II</t>
  </si>
  <si>
    <t>Còn thiếu (ước tính)</t>
  </si>
  <si>
    <t>VNĐ — đã trừ tài sản tích lũy và lương hưu BHXH</t>
  </si>
  <si>
    <t>Cần tích lũy thêm mỗi tháng (ước tính)</t>
  </si>
  <si>
    <t>VNĐ/tháng — tính theo lãi kép với lãi suất đầu tư kỳ vọng (ô C28)</t>
  </si>
  <si>
    <t>Đánh giá</t>
  </si>
  <si>
    <t>IV — CHECKLIST CHUẨN BỊ NGHỈ HƯU</t>
  </si>
  <si>
    <t>NỘI DUNG</t>
  </si>
  <si>
    <t>💰  TÀI CHÍNH</t>
  </si>
  <si>
    <t>Xác định rõ mức chi tiêu mong muốn khi nghỉ hưu</t>
  </si>
  <si>
    <t>⬜ Chưa làm</t>
  </si>
  <si>
    <t>Tính cả chi phí y tế, giải trí, du lịch</t>
  </si>
  <si>
    <t>Tính toán tổng tiền cần tích lũy để nghỉ hưu</t>
  </si>
  <si>
    <t>Xem Phần I &amp; III của file này</t>
  </si>
  <si>
    <t>Xây dựng và duy trì Quỹ khẩn cấp 6 tháng chi phí</t>
  </si>
  <si>
    <t>Tách riêng khỏi quỹ đầu tư dài hạn</t>
  </si>
  <si>
    <t>Đa dạng hóa danh mục đầu tư (cổ phiếu, quỹ mở, BĐS, vàng)</t>
  </si>
  <si>
    <t>Không bỏ tất cả trứng vào một giỏ</t>
  </si>
  <si>
    <t>Tìm hiểu về bảo hiểm xã hội và mức lương hưu dự kiến</t>
  </si>
  <si>
    <t>Kiểm tra số năm đóng BHXH của bạn để điền vào dòng 26 của file này</t>
  </si>
  <si>
    <t>Thanh toán hết các khoản nợ trước khi nghỉ hưu</t>
  </si>
  <si>
    <t>Đặc biệt là vay thế chấp</t>
  </si>
  <si>
    <t>Lập di chúc và kế hoạch thừa kế tài sản</t>
  </si>
  <si>
    <t>Đảm bảo tài sản được chuyển giao đúng ý muốn</t>
  </si>
  <si>
    <t>🏥  SỨC KHỎE</t>
  </si>
  <si>
    <t>Mua bảo hiểm sức khỏe toàn diện</t>
  </si>
  <si>
    <t>Chi phí y tế tăng đáng kể sau 60 tuổi</t>
  </si>
  <si>
    <t>Xây dựng thói quen tập thể dục đều đặn</t>
  </si>
  <si>
    <t>Đầu tư vào sức khỏe = tiết kiệm chi phí y tế</t>
  </si>
  <si>
    <t>Khám sức khỏe định kỳ hàng năm</t>
  </si>
  <si>
    <t>Phát hiện sớm, điều trị sớm</t>
  </si>
  <si>
    <t>Duy trì cân nặng và chế độ ăn uống lành mạnh</t>
  </si>
  <si>
    <t>🌟  LỐI SỐNG &amp; CÁ NHÂN</t>
  </si>
  <si>
    <t>Xác định rõ bạn muốn làm gì sau khi nghỉ hưu</t>
  </si>
  <si>
    <t>Du lịch, sở thích, tình nguyện, làm việc bán thời gian...</t>
  </si>
  <si>
    <t>Duy trì và mở rộng mạng lưới quan hệ xã hội</t>
  </si>
  <si>
    <t>Cô đơn là vấn đề lớn của người về hưu</t>
  </si>
  <si>
    <t>Học kỹ năng mới hoặc theo đuổi sở thích cá nhân</t>
  </si>
  <si>
    <t>Giữ đầu óc hoạt động và tích cực</t>
  </si>
  <si>
    <t>Lên kế hoạch nơi sống sau nghỉ hưu (ở cùng con cái hay độc lập?)</t>
  </si>
  <si>
    <t>Thảo luận kế hoạch nghỉ hưu với người thân trong gia đình</t>
  </si>
  <si>
    <t>Đảm bảo mọi người cùng hiểu và hỗ trợ</t>
  </si>
  <si>
    <t>🔄  THEO DÕI &amp; ĐIỀU CHỈNH</t>
  </si>
  <si>
    <t>Xem lại kế hoạch nghỉ hưu ít nhất 1 lần/năm</t>
  </si>
  <si>
    <t>Điều chỉnh khi thu nhập, chi phí hoặc mục tiêu thay đổi</t>
  </si>
  <si>
    <t>Cập nhật danh mục tài sản định kỳ</t>
  </si>
  <si>
    <t>Xem lại Phần II mỗi 6 tháng</t>
  </si>
  <si>
    <t>Tham khảo ý kiến chuyên gia tài chính khi cần</t>
  </si>
  <si>
    <t>Đặc biệt quan trọng khi gần đến tuổi nghỉ hưu</t>
  </si>
  <si>
    <t>💡  Lưu ý: Các con số trong file này là ước tính. Thực tế có thể khác do lạm phát, lãi suất đầu tư, và thay đổi lối sống. Hãy xem lại và cập nhật thường xuyên.</t>
  </si>
  <si>
    <t>TRẠNG THÁI 
(chọn dropdown)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</si>
</sst>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charset val="1"/>
    </font>
    <font>
      <b/>
      <sz val="14"/>
      <color rgb="FFFFFFFF"/>
      <name val="Arial"/>
      <charset val="1"/>
    </font>
    <font>
      <i/>
      <sz val="10"/>
      <color rgb="FF5C3D2E"/>
      <name val="Arial"/>
      <charset val="1"/>
    </font>
    <font>
      <b/>
      <sz val="11"/>
      <color rgb="FFFFFFFF"/>
      <name val="Arial"/>
      <charset val="1"/>
    </font>
    <font>
      <sz val="10"/>
      <color rgb="FF2C1810"/>
      <name val="Arial"/>
      <charset val="1"/>
    </font>
    <font>
      <b/>
      <sz val="11"/>
      <color rgb="FF0000FF"/>
      <name val="Arial"/>
      <charset val="1"/>
    </font>
    <font>
      <i/>
      <sz val="10"/>
      <color rgb="FF888888"/>
      <name val="Arial"/>
      <charset val="1"/>
    </font>
    <font>
      <i/>
      <sz val="9"/>
      <color rgb="FF757575"/>
      <name val="Arial"/>
      <charset val="1"/>
    </font>
    <font>
      <b/>
      <sz val="10"/>
      <color rgb="FF4A148C"/>
      <name val="Arial"/>
      <charset val="1"/>
    </font>
    <font>
      <b/>
      <sz val="12"/>
      <color rgb="FF000000"/>
      <name val="Arial"/>
      <charset val="1"/>
    </font>
    <font>
      <i/>
      <sz val="9"/>
      <color rgb="FF004D40"/>
      <name val="Arial"/>
      <charset val="1"/>
    </font>
    <font>
      <b/>
      <sz val="9"/>
      <color rgb="FFFFFFFF"/>
      <name val="Arial"/>
      <charset val="1"/>
    </font>
    <font>
      <sz val="10"/>
      <color rgb="FF0000FF"/>
      <name val="Arial"/>
      <charset val="1"/>
    </font>
    <font>
      <sz val="10"/>
      <color rgb="FF000000"/>
      <name val="Arial"/>
      <charset val="1"/>
    </font>
    <font>
      <b/>
      <sz val="10"/>
      <color rgb="FF004D40"/>
      <name val="Arial"/>
      <charset val="1"/>
    </font>
    <font>
      <b/>
      <sz val="12"/>
      <color rgb="FF2C1810"/>
      <name val="Arial"/>
      <charset val="1"/>
    </font>
    <font>
      <b/>
      <sz val="10"/>
      <color rgb="FF0D47A1"/>
      <name val="Arial"/>
      <charset val="1"/>
    </font>
    <font>
      <b/>
      <sz val="10"/>
      <color rgb="FF2C1810"/>
      <name val="Arial"/>
      <charset val="1"/>
    </font>
    <font>
      <b/>
      <sz val="10"/>
      <color rgb="FFFFFFFF"/>
      <name val="Arial"/>
      <charset val="1"/>
    </font>
    <font>
      <i/>
      <sz val="9"/>
      <color rgb="FF8B5E3C"/>
      <name val="Arial"/>
      <charset val="1"/>
    </font>
    <font>
      <b/>
      <sz val="10"/>
      <color rgb="FF004D40"/>
      <name val="Arial"/>
    </font>
    <font>
      <b/>
      <sz val="12"/>
      <color rgb="FF000000"/>
      <name val="Arial"/>
    </font>
    <font>
      <i/>
      <sz val="9"/>
      <color rgb="FF004D40"/>
      <name val="Arial"/>
    </font>
  </fonts>
  <fills count="21">
    <fill>
      <patternFill patternType="none"/>
    </fill>
    <fill>
      <patternFill patternType="gray125"/>
    </fill>
    <fill>
      <patternFill patternType="solid">
        <fgColor rgb="FF5C3D2E"/>
        <bgColor rgb="FF8B5E3C"/>
      </patternFill>
    </fill>
    <fill>
      <patternFill patternType="solid">
        <fgColor rgb="FFF5ECD7"/>
        <bgColor rgb="FFFDF6EC"/>
      </patternFill>
    </fill>
    <fill>
      <patternFill patternType="solid">
        <fgColor rgb="FFFFFFFF"/>
        <bgColor rgb="FFFFFDE7"/>
      </patternFill>
    </fill>
    <fill>
      <patternFill patternType="solid">
        <fgColor rgb="FF4A148C"/>
        <bgColor rgb="FF800080"/>
      </patternFill>
    </fill>
    <fill>
      <patternFill patternType="solid">
        <fgColor rgb="FFFDF6EC"/>
        <bgColor rgb="FFFFFDE7"/>
      </patternFill>
    </fill>
    <fill>
      <patternFill patternType="solid">
        <fgColor rgb="FFFFFDE7"/>
        <bgColor rgb="FFFDF6EC"/>
      </patternFill>
    </fill>
    <fill>
      <patternFill patternType="solid">
        <fgColor rgb="FFF3E5F5"/>
        <bgColor rgb="FFF5ECD7"/>
      </patternFill>
    </fill>
    <fill>
      <patternFill patternType="solid">
        <fgColor rgb="FFE1BEE7"/>
        <bgColor rgb="FFD4B896"/>
      </patternFill>
    </fill>
    <fill>
      <patternFill patternType="solid">
        <fgColor rgb="FF004D40"/>
        <bgColor rgb="FF1B5E20"/>
      </patternFill>
    </fill>
    <fill>
      <patternFill patternType="solid">
        <fgColor rgb="FFE0F2F1"/>
        <bgColor rgb="FFE3F2FD"/>
      </patternFill>
    </fill>
    <fill>
      <patternFill patternType="solid">
        <fgColor rgb="FFB2DFDB"/>
        <bgColor rgb="FFBBDEFB"/>
      </patternFill>
    </fill>
    <fill>
      <patternFill patternType="solid">
        <fgColor rgb="FFC8E6C9"/>
        <bgColor rgb="FFB2DFDB"/>
      </patternFill>
    </fill>
    <fill>
      <patternFill patternType="solid">
        <fgColor rgb="FF0D47A1"/>
        <bgColor rgb="FF0066CC"/>
      </patternFill>
    </fill>
    <fill>
      <patternFill patternType="solid">
        <fgColor rgb="FFE3F2FD"/>
        <bgColor rgb="FFE0F2F1"/>
      </patternFill>
    </fill>
    <fill>
      <patternFill patternType="solid">
        <fgColor rgb="FFBBDEFB"/>
        <bgColor rgb="FFB2DFDB"/>
      </patternFill>
    </fill>
    <fill>
      <patternFill patternType="solid">
        <fgColor rgb="FF1B5E20"/>
        <bgColor rgb="FF004D40"/>
      </patternFill>
    </fill>
    <fill>
      <patternFill patternType="solid">
        <fgColor rgb="FF2E7D32"/>
        <bgColor rgb="FF1B5E20"/>
      </patternFill>
    </fill>
    <fill>
      <patternFill patternType="solid">
        <fgColor rgb="FFE8F5E9"/>
        <bgColor rgb="FFE0F2F1"/>
      </patternFill>
    </fill>
    <fill>
      <patternFill patternType="solid">
        <fgColor rgb="FFC8E6C9"/>
      </patternFill>
    </fill>
  </fills>
  <borders count="6">
    <border>
      <left/>
      <right/>
      <top/>
      <bottom/>
      <diagonal/>
    </border>
    <border>
      <left style="thin">
        <color rgb="FFD4B896"/>
      </left>
      <right/>
      <top style="thin">
        <color rgb="FFD4B896"/>
      </top>
      <bottom style="thin">
        <color rgb="FFD4B896"/>
      </bottom>
      <diagonal/>
    </border>
    <border>
      <left style="thin">
        <color rgb="FFD4B896"/>
      </left>
      <right style="thin">
        <color rgb="FFD4B896"/>
      </right>
      <top style="thin">
        <color rgb="FFD4B896"/>
      </top>
      <bottom style="thin">
        <color rgb="FFD4B896"/>
      </bottom>
      <diagonal/>
    </border>
    <border>
      <left/>
      <right/>
      <top style="thin">
        <color rgb="FFD4B896"/>
      </top>
      <bottom style="thin">
        <color rgb="FFD4B896"/>
      </bottom>
      <diagonal/>
    </border>
    <border>
      <left/>
      <right style="thin">
        <color rgb="FFD4B896"/>
      </right>
      <top style="thin">
        <color rgb="FFD4B896"/>
      </top>
      <bottom style="thin">
        <color rgb="FFD4B896"/>
      </bottom>
      <diagonal/>
    </border>
    <border>
      <left style="thin">
        <color rgb="FFD4B896"/>
      </left>
      <right style="thin">
        <color rgb="FFD4B896"/>
      </right>
      <top style="thin">
        <color rgb="FFD4B896"/>
      </top>
      <bottom style="thin">
        <color rgb="FFD4B896"/>
      </bottom>
      <diagonal/>
    </border>
  </borders>
  <cellStyleXfs count="1">
    <xf numFmtId="0" fontId="0" fillId="0" borderId="0"/>
  </cellStyleXfs>
  <cellXfs count="86">
    <xf numFmtId="0" fontId="0" fillId="0" borderId="0" xfId="0"/>
    <xf numFmtId="0" fontId="0" fillId="4" borderId="0" xfId="0" applyFill="1"/>
    <xf numFmtId="1" fontId="5" fillId="7" borderId="2" xfId="0" applyNumberFormat="1" applyFont="1" applyFill="1" applyBorder="1" applyAlignment="1">
      <alignment horizontal="right" vertical="center"/>
    </xf>
    <xf numFmtId="0" fontId="6" fillId="6" borderId="2" xfId="0" applyFont="1" applyFill="1" applyBorder="1" applyAlignment="1">
      <alignment horizontal="left" vertical="center"/>
    </xf>
    <xf numFmtId="0" fontId="6" fillId="3" borderId="2" xfId="0" applyFont="1" applyFill="1" applyBorder="1" applyAlignment="1">
      <alignment horizontal="left" vertical="center"/>
    </xf>
    <xf numFmtId="3" fontId="5" fillId="7" borderId="2" xfId="0" applyNumberFormat="1" applyFont="1" applyFill="1" applyBorder="1" applyAlignment="1">
      <alignment horizontal="right" vertical="center"/>
    </xf>
    <xf numFmtId="10" fontId="5" fillId="7" borderId="2" xfId="0" applyNumberFormat="1" applyFont="1" applyFill="1" applyBorder="1" applyAlignment="1">
      <alignment horizontal="right" vertical="center"/>
    </xf>
    <xf numFmtId="1" fontId="9" fillId="8" borderId="2" xfId="0" applyNumberFormat="1" applyFont="1" applyFill="1" applyBorder="1" applyAlignment="1">
      <alignment horizontal="right" vertical="center"/>
    </xf>
    <xf numFmtId="0" fontId="4" fillId="8" borderId="2" xfId="0" applyFont="1" applyFill="1" applyBorder="1" applyAlignment="1">
      <alignment horizontal="left" vertical="center"/>
    </xf>
    <xf numFmtId="1" fontId="9" fillId="9" borderId="2" xfId="0" applyNumberFormat="1" applyFont="1" applyFill="1" applyBorder="1" applyAlignment="1">
      <alignment horizontal="right" vertical="center"/>
    </xf>
    <xf numFmtId="0" fontId="4" fillId="9" borderId="2" xfId="0" applyFont="1" applyFill="1" applyBorder="1" applyAlignment="1">
      <alignment horizontal="left" vertical="center"/>
    </xf>
    <xf numFmtId="3" fontId="9" fillId="8" borderId="2" xfId="0" applyNumberFormat="1" applyFont="1" applyFill="1" applyBorder="1" applyAlignment="1">
      <alignment horizontal="right" vertical="center"/>
    </xf>
    <xf numFmtId="3" fontId="9" fillId="9" borderId="2" xfId="0" applyNumberFormat="1" applyFont="1" applyFill="1" applyBorder="1" applyAlignment="1">
      <alignment horizontal="right" vertical="center"/>
    </xf>
    <xf numFmtId="0" fontId="11" fillId="10" borderId="2" xfId="0" applyFont="1" applyFill="1" applyBorder="1" applyAlignment="1">
      <alignment horizontal="center" vertical="center" wrapText="1"/>
    </xf>
    <xf numFmtId="0" fontId="4" fillId="11" borderId="2" xfId="0" applyFont="1" applyFill="1" applyBorder="1" applyAlignment="1">
      <alignment horizontal="center" vertical="center"/>
    </xf>
    <xf numFmtId="0" fontId="4" fillId="11" borderId="2" xfId="0" applyFont="1" applyFill="1" applyBorder="1" applyAlignment="1">
      <alignment horizontal="left" vertical="center"/>
    </xf>
    <xf numFmtId="3" fontId="12" fillId="11" borderId="2" xfId="0" applyNumberFormat="1" applyFont="1" applyFill="1" applyBorder="1" applyAlignment="1">
      <alignment horizontal="right" vertical="center"/>
    </xf>
    <xf numFmtId="10" fontId="12" fillId="11" borderId="2" xfId="0" applyNumberFormat="1" applyFont="1" applyFill="1" applyBorder="1" applyAlignment="1">
      <alignment horizontal="center" vertical="center"/>
    </xf>
    <xf numFmtId="3" fontId="13" fillId="11" borderId="2" xfId="0" applyNumberFormat="1" applyFont="1" applyFill="1" applyBorder="1" applyAlignment="1">
      <alignment horizontal="right" vertical="center"/>
    </xf>
    <xf numFmtId="0" fontId="7" fillId="11" borderId="2" xfId="0" applyFont="1" applyFill="1" applyBorder="1" applyAlignment="1">
      <alignment horizontal="left" vertical="center"/>
    </xf>
    <xf numFmtId="0" fontId="4" fillId="12" borderId="2" xfId="0" applyFont="1" applyFill="1" applyBorder="1" applyAlignment="1">
      <alignment horizontal="center" vertical="center"/>
    </xf>
    <xf numFmtId="0" fontId="4" fillId="12" borderId="2" xfId="0" applyFont="1" applyFill="1" applyBorder="1" applyAlignment="1">
      <alignment horizontal="left" vertical="center"/>
    </xf>
    <xf numFmtId="3" fontId="12" fillId="12" borderId="2" xfId="0" applyNumberFormat="1" applyFont="1" applyFill="1" applyBorder="1" applyAlignment="1">
      <alignment horizontal="right" vertical="center"/>
    </xf>
    <xf numFmtId="10" fontId="12" fillId="12" borderId="2" xfId="0" applyNumberFormat="1" applyFont="1" applyFill="1" applyBorder="1" applyAlignment="1">
      <alignment horizontal="center" vertical="center"/>
    </xf>
    <xf numFmtId="3" fontId="13" fillId="12" borderId="2" xfId="0" applyNumberFormat="1" applyFont="1" applyFill="1" applyBorder="1" applyAlignment="1">
      <alignment horizontal="right" vertical="center"/>
    </xf>
    <xf numFmtId="0" fontId="7" fillId="12" borderId="2" xfId="0" applyFont="1" applyFill="1" applyBorder="1" applyAlignment="1">
      <alignment horizontal="left" vertical="center"/>
    </xf>
    <xf numFmtId="0" fontId="0" fillId="12" borderId="2" xfId="0" applyFill="1" applyBorder="1"/>
    <xf numFmtId="0" fontId="0" fillId="11" borderId="2" xfId="0" applyFill="1" applyBorder="1"/>
    <xf numFmtId="0" fontId="6" fillId="12" borderId="2" xfId="0" applyFont="1" applyFill="1" applyBorder="1" applyAlignment="1">
      <alignment horizontal="left" vertical="center"/>
    </xf>
    <xf numFmtId="3" fontId="15" fillId="11" borderId="2" xfId="0" applyNumberFormat="1" applyFont="1" applyFill="1" applyBorder="1" applyAlignment="1">
      <alignment horizontal="right" vertical="center"/>
    </xf>
    <xf numFmtId="0" fontId="6" fillId="11" borderId="2" xfId="0" applyFont="1" applyFill="1" applyBorder="1" applyAlignment="1">
      <alignment horizontal="left" vertical="center"/>
    </xf>
    <xf numFmtId="0" fontId="0" fillId="13" borderId="2" xfId="0" applyFill="1" applyBorder="1"/>
    <xf numFmtId="0" fontId="0" fillId="0" borderId="3" xfId="0" applyBorder="1"/>
    <xf numFmtId="3" fontId="9" fillId="15" borderId="2" xfId="0" applyNumberFormat="1" applyFont="1" applyFill="1" applyBorder="1" applyAlignment="1">
      <alignment horizontal="right" vertical="center"/>
    </xf>
    <xf numFmtId="0" fontId="4" fillId="15" borderId="2" xfId="0" applyFont="1" applyFill="1" applyBorder="1" applyAlignment="1">
      <alignment horizontal="left" vertical="center"/>
    </xf>
    <xf numFmtId="3" fontId="9" fillId="16" borderId="2" xfId="0" applyNumberFormat="1" applyFont="1" applyFill="1" applyBorder="1" applyAlignment="1">
      <alignment horizontal="right" vertical="center"/>
    </xf>
    <xf numFmtId="0" fontId="4" fillId="16" borderId="2" xfId="0" applyFont="1" applyFill="1" applyBorder="1" applyAlignment="1">
      <alignment horizontal="left" vertical="center"/>
    </xf>
    <xf numFmtId="0" fontId="0" fillId="16" borderId="2" xfId="0" applyFill="1" applyBorder="1"/>
    <xf numFmtId="49" fontId="17" fillId="15" borderId="2" xfId="0" applyNumberFormat="1" applyFont="1" applyFill="1" applyBorder="1" applyAlignment="1">
      <alignment horizontal="left" vertical="center" wrapText="1"/>
    </xf>
    <xf numFmtId="0" fontId="11" fillId="18" borderId="2" xfId="0" applyFont="1" applyFill="1" applyBorder="1" applyAlignment="1">
      <alignment horizontal="center" vertical="center"/>
    </xf>
    <xf numFmtId="0" fontId="0" fillId="18" borderId="2" xfId="0" applyFill="1" applyBorder="1"/>
    <xf numFmtId="0" fontId="4" fillId="13" borderId="2" xfId="0" applyFont="1" applyFill="1" applyBorder="1" applyAlignment="1">
      <alignment horizontal="left" vertical="center" wrapText="1"/>
    </xf>
    <xf numFmtId="0" fontId="4" fillId="7" borderId="2" xfId="0" applyFont="1" applyFill="1" applyBorder="1" applyAlignment="1">
      <alignment horizontal="center" vertical="center"/>
    </xf>
    <xf numFmtId="0" fontId="7" fillId="13" borderId="2" xfId="0" applyFont="1" applyFill="1" applyBorder="1" applyAlignment="1">
      <alignment horizontal="left" vertical="center" wrapText="1"/>
    </xf>
    <xf numFmtId="0" fontId="4" fillId="19" borderId="2" xfId="0" applyFont="1" applyFill="1" applyBorder="1" applyAlignment="1">
      <alignment horizontal="left" vertical="center" wrapText="1"/>
    </xf>
    <xf numFmtId="0" fontId="7" fillId="19" borderId="2" xfId="0" applyFont="1" applyFill="1" applyBorder="1" applyAlignment="1">
      <alignment horizontal="left" vertical="center" wrapText="1"/>
    </xf>
    <xf numFmtId="0" fontId="0" fillId="19" borderId="2" xfId="0" applyFill="1" applyBorder="1"/>
    <xf numFmtId="0" fontId="19" fillId="6" borderId="1" xfId="0" applyFont="1" applyFill="1" applyBorder="1" applyAlignment="1">
      <alignment horizontal="left" vertical="center"/>
    </xf>
    <xf numFmtId="3" fontId="21" fillId="20" borderId="5" xfId="0" applyNumberFormat="1" applyFont="1" applyFill="1" applyBorder="1" applyAlignment="1">
      <alignment horizontal="right" vertical="center"/>
    </xf>
    <xf numFmtId="0" fontId="22" fillId="20" borderId="5" xfId="0" applyFont="1" applyFill="1" applyBorder="1" applyAlignment="1">
      <alignment horizontal="right" vertical="center"/>
    </xf>
    <xf numFmtId="0" fontId="0" fillId="20" borderId="5" xfId="0" applyFill="1" applyBorder="1"/>
    <xf numFmtId="0" fontId="0" fillId="0" borderId="3" xfId="0" applyBorder="1"/>
    <xf numFmtId="0" fontId="7" fillId="8" borderId="1" xfId="0" applyFont="1" applyFill="1" applyBorder="1" applyAlignment="1">
      <alignment horizontal="left" vertical="center" wrapText="1"/>
    </xf>
    <xf numFmtId="0" fontId="10" fillId="11" borderId="1" xfId="0" applyFont="1" applyFill="1" applyBorder="1" applyAlignment="1">
      <alignment horizontal="left" vertical="center" wrapText="1"/>
    </xf>
    <xf numFmtId="0" fontId="0" fillId="4" borderId="0" xfId="0" applyFill="1"/>
    <xf numFmtId="0" fontId="0" fillId="0" borderId="0" xfId="0"/>
    <xf numFmtId="0" fontId="8" fillId="9" borderId="1" xfId="0" applyFont="1" applyFill="1" applyBorder="1" applyAlignment="1">
      <alignment horizontal="left" vertical="center"/>
    </xf>
    <xf numFmtId="0" fontId="7" fillId="16" borderId="1" xfId="0" applyFont="1" applyFill="1" applyBorder="1" applyAlignment="1">
      <alignment horizontal="left" vertical="center" wrapText="1"/>
    </xf>
    <xf numFmtId="0" fontId="4" fillId="13" borderId="1" xfId="0" applyFont="1" applyFill="1" applyBorder="1" applyAlignment="1">
      <alignment horizontal="center" vertical="center"/>
    </xf>
    <xf numFmtId="0" fontId="7" fillId="6" borderId="1" xfId="0" applyFont="1" applyFill="1" applyBorder="1" applyAlignment="1">
      <alignment horizontal="left" vertical="center" wrapText="1"/>
    </xf>
    <xf numFmtId="0" fontId="16" fillId="15" borderId="1" xfId="0" applyFont="1" applyFill="1" applyBorder="1" applyAlignment="1">
      <alignment horizontal="left" vertical="center"/>
    </xf>
    <xf numFmtId="0" fontId="4" fillId="3" borderId="1" xfId="0" applyFont="1" applyFill="1" applyBorder="1" applyAlignment="1">
      <alignment horizontal="left" vertical="center"/>
    </xf>
    <xf numFmtId="0" fontId="7" fillId="3" borderId="1" xfId="0" applyFont="1" applyFill="1" applyBorder="1" applyAlignment="1">
      <alignment horizontal="left" vertical="center" wrapText="1"/>
    </xf>
    <xf numFmtId="0" fontId="2" fillId="3" borderId="1" xfId="0" applyFont="1" applyFill="1" applyBorder="1" applyAlignment="1">
      <alignment horizontal="center" vertical="center"/>
    </xf>
    <xf numFmtId="0" fontId="4" fillId="6" borderId="1" xfId="0" applyFont="1" applyFill="1" applyBorder="1" applyAlignment="1">
      <alignment horizontal="left" vertical="center"/>
    </xf>
    <xf numFmtId="0" fontId="4" fillId="19" borderId="1" xfId="0" applyFont="1" applyFill="1" applyBorder="1" applyAlignment="1">
      <alignment horizontal="center" vertical="center"/>
    </xf>
    <xf numFmtId="0" fontId="7" fillId="9" borderId="1" xfId="0" applyFont="1" applyFill="1" applyBorder="1" applyAlignment="1">
      <alignment horizontal="left" vertical="center" wrapText="1"/>
    </xf>
    <xf numFmtId="0" fontId="3" fillId="5" borderId="1" xfId="0" applyFont="1" applyFill="1" applyBorder="1" applyAlignment="1">
      <alignment horizontal="left" vertical="center"/>
    </xf>
    <xf numFmtId="0" fontId="14" fillId="11" borderId="2" xfId="0" applyFont="1" applyFill="1" applyBorder="1" applyAlignment="1">
      <alignment horizontal="left" vertical="center"/>
    </xf>
    <xf numFmtId="0" fontId="0" fillId="0" borderId="4" xfId="0" applyBorder="1"/>
    <xf numFmtId="0" fontId="8" fillId="8" borderId="1" xfId="0" applyFont="1" applyFill="1" applyBorder="1" applyAlignment="1">
      <alignment horizontal="left" vertical="center"/>
    </xf>
    <xf numFmtId="0" fontId="7" fillId="15" borderId="1" xfId="0" applyFont="1" applyFill="1" applyBorder="1" applyAlignment="1">
      <alignment horizontal="left" vertical="center" wrapText="1"/>
    </xf>
    <xf numFmtId="0" fontId="4" fillId="12" borderId="2" xfId="0" applyFont="1" applyFill="1" applyBorder="1" applyAlignment="1">
      <alignment horizontal="left" vertical="center"/>
    </xf>
    <xf numFmtId="0" fontId="16" fillId="16" borderId="1" xfId="0" applyFont="1" applyFill="1" applyBorder="1" applyAlignment="1">
      <alignment horizontal="left" vertical="center"/>
    </xf>
    <xf numFmtId="0" fontId="7" fillId="11" borderId="2" xfId="0" applyFont="1" applyFill="1" applyBorder="1" applyAlignment="1">
      <alignment horizontal="left" vertical="center" wrapText="1"/>
    </xf>
    <xf numFmtId="0" fontId="7" fillId="12" borderId="2" xfId="0" applyFont="1" applyFill="1" applyBorder="1" applyAlignment="1">
      <alignment horizontal="left" vertical="center" wrapText="1"/>
    </xf>
    <xf numFmtId="0" fontId="3" fillId="10" borderId="1" xfId="0" applyFont="1" applyFill="1" applyBorder="1" applyAlignment="1">
      <alignment horizontal="left" vertical="center"/>
    </xf>
    <xf numFmtId="0" fontId="3" fillId="17" borderId="1" xfId="0" applyFont="1" applyFill="1" applyBorder="1" applyAlignment="1">
      <alignment horizontal="left" vertical="center"/>
    </xf>
    <xf numFmtId="0" fontId="20" fillId="20" borderId="5" xfId="0" applyFont="1" applyFill="1" applyBorder="1" applyAlignment="1">
      <alignment horizontal="left" vertical="center"/>
    </xf>
    <xf numFmtId="0" fontId="1" fillId="2" borderId="1" xfId="0" applyFont="1" applyFill="1" applyBorder="1" applyAlignment="1">
      <alignment horizontal="center" vertical="center"/>
    </xf>
    <xf numFmtId="0" fontId="4" fillId="3" borderId="2" xfId="0" applyFont="1" applyFill="1" applyBorder="1" applyAlignment="1">
      <alignment horizontal="left" vertical="center"/>
    </xf>
    <xf numFmtId="0" fontId="3" fillId="14" borderId="1" xfId="0" applyFont="1" applyFill="1" applyBorder="1" applyAlignment="1">
      <alignment horizontal="left" vertical="center"/>
    </xf>
    <xf numFmtId="0" fontId="11" fillId="18" borderId="1" xfId="0" applyFont="1" applyFill="1" applyBorder="1" applyAlignment="1">
      <alignment horizontal="center" vertical="center"/>
    </xf>
    <xf numFmtId="0" fontId="11" fillId="18" borderId="2" xfId="0" applyFont="1" applyFill="1" applyBorder="1" applyAlignment="1">
      <alignment horizontal="center" vertical="center" wrapText="1"/>
    </xf>
    <xf numFmtId="0" fontId="18" fillId="18" borderId="1" xfId="0" applyFont="1" applyFill="1" applyBorder="1" applyAlignment="1">
      <alignment horizontal="center" vertical="center"/>
    </xf>
    <xf numFmtId="0" fontId="0" fillId="0" borderId="3" xfId="0" applyBorder="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E8F5E9"/>
      <rgbColor rgb="FFFF00FF"/>
      <rgbColor rgb="FF00FFFF"/>
      <rgbColor rgb="FF800000"/>
      <rgbColor rgb="FF1B5E20"/>
      <rgbColor rgb="FF000080"/>
      <rgbColor rgb="FF8B5E3C"/>
      <rgbColor rgb="FF800080"/>
      <rgbColor rgb="FF008080"/>
      <rgbColor rgb="FFD4B896"/>
      <rgbColor rgb="FF888888"/>
      <rgbColor rgb="FF9999FF"/>
      <rgbColor rgb="FF993366"/>
      <rgbColor rgb="FFFFFDE7"/>
      <rgbColor rgb="FFE0F2F1"/>
      <rgbColor rgb="FF4A148C"/>
      <rgbColor rgb="FFFF8080"/>
      <rgbColor rgb="FF0066CC"/>
      <rgbColor rgb="FFBBDEFB"/>
      <rgbColor rgb="FF000080"/>
      <rgbColor rgb="FFFF00FF"/>
      <rgbColor rgb="FFFFFF00"/>
      <rgbColor rgb="FF00FFFF"/>
      <rgbColor rgb="FF800080"/>
      <rgbColor rgb="FF800000"/>
      <rgbColor rgb="FF008080"/>
      <rgbColor rgb="FF0000FF"/>
      <rgbColor rgb="FF00CCFF"/>
      <rgbColor rgb="FFE3F2FD"/>
      <rgbColor rgb="FFC8E6C9"/>
      <rgbColor rgb="FFF5ECD7"/>
      <rgbColor rgb="FFB2DFDB"/>
      <rgbColor rgb="FFFDF6EC"/>
      <rgbColor rgb="FFE1BEE7"/>
      <rgbColor rgb="FFF3E5F5"/>
      <rgbColor rgb="FF3366FF"/>
      <rgbColor rgb="FF33CCCC"/>
      <rgbColor rgb="FF99CC00"/>
      <rgbColor rgb="FFFFCC00"/>
      <rgbColor rgb="FFFF9900"/>
      <rgbColor rgb="FFFF6600"/>
      <rgbColor rgb="FF757575"/>
      <rgbColor rgb="FF969696"/>
      <rgbColor rgb="FF004D40"/>
      <rgbColor rgb="FF2E7D32"/>
      <rgbColor rgb="FF003300"/>
      <rgbColor rgb="FF2C1810"/>
      <rgbColor rgb="FF993300"/>
      <rgbColor rgb="FF993366"/>
      <rgbColor rgb="FF0D47A1"/>
      <rgbColor rgb="FF5C3D2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64"/>
  <sheetViews>
    <sheetView tabSelected="1" topLeftCell="A60" zoomScaleNormal="100" workbookViewId="0">
      <selection activeCell="C62" sqref="C62"/>
    </sheetView>
  </sheetViews>
  <sheetFormatPr defaultColWidth="8.6640625" defaultRowHeight="14.4" x14ac:dyDescent="0.3"/>
  <cols>
    <col min="1" max="1" width="4" customWidth="1"/>
    <col min="2" max="2" width="49" customWidth="1"/>
    <col min="3" max="3" width="33.109375" customWidth="1"/>
    <col min="4" max="4" width="18" customWidth="1"/>
    <col min="5" max="5" width="30" customWidth="1"/>
    <col min="6" max="6" width="15.44140625" bestFit="1" customWidth="1"/>
  </cols>
  <sheetData>
    <row r="1" spans="1:6" ht="37.5" customHeight="1" x14ac:dyDescent="0.3">
      <c r="A1" s="79" t="s">
        <v>0</v>
      </c>
      <c r="B1" s="51"/>
      <c r="C1" s="51"/>
      <c r="D1" s="51"/>
      <c r="E1" s="51"/>
      <c r="F1" s="51"/>
    </row>
    <row r="2" spans="1:6" ht="21.75" customHeight="1" x14ac:dyDescent="0.3">
      <c r="A2" s="63" t="s">
        <v>1</v>
      </c>
      <c r="B2" s="51"/>
      <c r="C2" s="51"/>
      <c r="D2" s="51"/>
      <c r="E2" s="51"/>
      <c r="F2" s="51"/>
    </row>
    <row r="3" spans="1:6" ht="9.75" customHeight="1" x14ac:dyDescent="0.3">
      <c r="A3" s="1"/>
      <c r="B3" s="1"/>
      <c r="C3" s="1"/>
      <c r="D3" s="1"/>
      <c r="E3" s="1"/>
      <c r="F3" s="1"/>
    </row>
    <row r="4" spans="1:6" ht="27.75" customHeight="1" x14ac:dyDescent="0.3">
      <c r="A4" s="67" t="s">
        <v>2</v>
      </c>
      <c r="B4" s="51"/>
      <c r="C4" s="51"/>
      <c r="D4" s="51"/>
      <c r="E4" s="51"/>
      <c r="F4" s="51"/>
    </row>
    <row r="5" spans="1:6" ht="25.5" customHeight="1" x14ac:dyDescent="0.3">
      <c r="A5" s="64" t="s">
        <v>3</v>
      </c>
      <c r="B5" s="51"/>
      <c r="C5" s="2">
        <v>35</v>
      </c>
      <c r="D5" s="3" t="s">
        <v>4</v>
      </c>
      <c r="E5" s="59"/>
      <c r="F5" s="51"/>
    </row>
    <row r="6" spans="1:6" ht="25.5" customHeight="1" x14ac:dyDescent="0.3">
      <c r="A6" s="61" t="s">
        <v>5</v>
      </c>
      <c r="B6" s="51"/>
      <c r="C6" s="2">
        <v>55</v>
      </c>
      <c r="D6" s="4" t="s">
        <v>4</v>
      </c>
      <c r="E6" s="62"/>
      <c r="F6" s="51"/>
    </row>
    <row r="7" spans="1:6" ht="25.5" customHeight="1" x14ac:dyDescent="0.3">
      <c r="A7" s="64" t="s">
        <v>6</v>
      </c>
      <c r="B7" s="51"/>
      <c r="C7" s="2">
        <v>80</v>
      </c>
      <c r="D7" s="3" t="s">
        <v>4</v>
      </c>
      <c r="E7" s="59"/>
      <c r="F7" s="51"/>
    </row>
    <row r="8" spans="1:6" ht="25.5" customHeight="1" x14ac:dyDescent="0.3">
      <c r="A8" s="61" t="s">
        <v>7</v>
      </c>
      <c r="B8" s="51"/>
      <c r="C8" s="5">
        <v>20000000</v>
      </c>
      <c r="D8" s="4" t="s">
        <v>8</v>
      </c>
      <c r="E8" s="62" t="s">
        <v>9</v>
      </c>
      <c r="F8" s="51"/>
    </row>
    <row r="9" spans="1:6" ht="25.5" customHeight="1" x14ac:dyDescent="0.3">
      <c r="A9" s="64" t="s">
        <v>10</v>
      </c>
      <c r="B9" s="51"/>
      <c r="C9" s="6">
        <v>0.04</v>
      </c>
      <c r="D9" s="3" t="s">
        <v>11</v>
      </c>
      <c r="E9" s="59" t="s">
        <v>12</v>
      </c>
      <c r="F9" s="51"/>
    </row>
    <row r="10" spans="1:6" ht="27.75" customHeight="1" x14ac:dyDescent="0.3">
      <c r="A10" s="70" t="s">
        <v>13</v>
      </c>
      <c r="B10" s="51"/>
      <c r="C10" s="7">
        <f>MAX(C6-C5,0)</f>
        <v>20</v>
      </c>
      <c r="D10" s="8"/>
      <c r="E10" s="52" t="s">
        <v>14</v>
      </c>
      <c r="F10" s="51"/>
    </row>
    <row r="11" spans="1:6" ht="27.75" customHeight="1" x14ac:dyDescent="0.3">
      <c r="A11" s="56" t="s">
        <v>15</v>
      </c>
      <c r="B11" s="51"/>
      <c r="C11" s="9">
        <f>MAX(C7-C6,0)</f>
        <v>25</v>
      </c>
      <c r="D11" s="10"/>
      <c r="E11" s="66" t="s">
        <v>14</v>
      </c>
      <c r="F11" s="51"/>
    </row>
    <row r="12" spans="1:6" ht="27.75" customHeight="1" x14ac:dyDescent="0.3">
      <c r="A12" s="70" t="s">
        <v>16</v>
      </c>
      <c r="B12" s="51"/>
      <c r="C12" s="11">
        <f>IFERROR(C8*(1+C9)^C10,0)</f>
        <v>43822462.860668428</v>
      </c>
      <c r="D12" s="8"/>
      <c r="E12" s="52" t="s">
        <v>17</v>
      </c>
      <c r="F12" s="51"/>
    </row>
    <row r="13" spans="1:6" ht="27.75" customHeight="1" x14ac:dyDescent="0.3">
      <c r="A13" s="56" t="s">
        <v>18</v>
      </c>
      <c r="B13" s="51"/>
      <c r="C13" s="12">
        <f>IFERROR(C12*12*C11,0)</f>
        <v>13146738858.200529</v>
      </c>
      <c r="D13" s="10"/>
      <c r="E13" s="66" t="s">
        <v>19</v>
      </c>
      <c r="F13" s="51"/>
    </row>
    <row r="14" spans="1:6" ht="9.75" customHeight="1" x14ac:dyDescent="0.3">
      <c r="A14" s="1"/>
      <c r="B14" s="1"/>
      <c r="C14" s="1"/>
      <c r="D14" s="1"/>
      <c r="E14" s="1"/>
      <c r="F14" s="1"/>
    </row>
    <row r="15" spans="1:6" ht="27.75" customHeight="1" x14ac:dyDescent="0.3">
      <c r="A15" s="76" t="s">
        <v>20</v>
      </c>
      <c r="B15" s="51"/>
      <c r="C15" s="51"/>
      <c r="D15" s="51"/>
      <c r="E15" s="51"/>
      <c r="F15" s="51"/>
    </row>
    <row r="16" spans="1:6" ht="21.75" customHeight="1" x14ac:dyDescent="0.3">
      <c r="A16" s="53" t="s">
        <v>21</v>
      </c>
      <c r="B16" s="51"/>
      <c r="C16" s="51"/>
      <c r="D16" s="51"/>
      <c r="E16" s="51"/>
      <c r="F16" s="51"/>
    </row>
    <row r="17" spans="1:6" ht="36" customHeight="1" x14ac:dyDescent="0.3">
      <c r="A17" s="13" t="s">
        <v>22</v>
      </c>
      <c r="B17" s="13" t="s">
        <v>23</v>
      </c>
      <c r="C17" s="13" t="s">
        <v>24</v>
      </c>
      <c r="D17" s="13" t="s">
        <v>25</v>
      </c>
      <c r="E17" s="13" t="s">
        <v>26</v>
      </c>
      <c r="F17" s="13" t="s">
        <v>27</v>
      </c>
    </row>
    <row r="18" spans="1:6" ht="25.5" customHeight="1" x14ac:dyDescent="0.3">
      <c r="A18" s="14">
        <v>1</v>
      </c>
      <c r="B18" s="15" t="s">
        <v>28</v>
      </c>
      <c r="C18" s="16">
        <v>50000000</v>
      </c>
      <c r="D18" s="17">
        <v>0.06</v>
      </c>
      <c r="E18" s="18">
        <f t="shared" ref="E18:E25" si="0">IFERROR(IF(C18="","",ROUND(C18*(1+D18)^$C$10,0)),"")</f>
        <v>160356774</v>
      </c>
      <c r="F18" s="19" t="s">
        <v>29</v>
      </c>
    </row>
    <row r="19" spans="1:6" ht="25.5" customHeight="1" x14ac:dyDescent="0.3">
      <c r="A19" s="20">
        <v>2</v>
      </c>
      <c r="B19" s="21" t="s">
        <v>30</v>
      </c>
      <c r="C19" s="22">
        <v>80000000</v>
      </c>
      <c r="D19" s="23">
        <v>0.1</v>
      </c>
      <c r="E19" s="24">
        <f t="shared" si="0"/>
        <v>538199996</v>
      </c>
      <c r="F19" s="25" t="s">
        <v>31</v>
      </c>
    </row>
    <row r="20" spans="1:6" ht="25.5" customHeight="1" x14ac:dyDescent="0.3">
      <c r="A20" s="14">
        <v>3</v>
      </c>
      <c r="B20" s="15" t="s">
        <v>32</v>
      </c>
      <c r="C20" s="16">
        <v>30000000</v>
      </c>
      <c r="D20" s="17">
        <v>0.12</v>
      </c>
      <c r="E20" s="18">
        <f t="shared" si="0"/>
        <v>289388793</v>
      </c>
      <c r="F20" s="19"/>
    </row>
    <row r="21" spans="1:6" ht="25.5" customHeight="1" x14ac:dyDescent="0.3">
      <c r="A21" s="20">
        <v>4</v>
      </c>
      <c r="B21" s="21" t="s">
        <v>33</v>
      </c>
      <c r="C21" s="22">
        <v>500000000</v>
      </c>
      <c r="D21" s="23">
        <v>7.0000000000000007E-2</v>
      </c>
      <c r="E21" s="24">
        <f t="shared" si="0"/>
        <v>1934842231</v>
      </c>
      <c r="F21" s="25" t="s">
        <v>34</v>
      </c>
    </row>
    <row r="22" spans="1:6" ht="25.5" customHeight="1" x14ac:dyDescent="0.3">
      <c r="A22" s="14">
        <v>5</v>
      </c>
      <c r="B22" s="15" t="s">
        <v>35</v>
      </c>
      <c r="C22" s="16">
        <v>20000000</v>
      </c>
      <c r="D22" s="17">
        <v>0.05</v>
      </c>
      <c r="E22" s="18">
        <f t="shared" si="0"/>
        <v>53065954</v>
      </c>
      <c r="F22" s="19" t="s">
        <v>36</v>
      </c>
    </row>
    <row r="23" spans="1:6" ht="25.5" customHeight="1" x14ac:dyDescent="0.3">
      <c r="A23" s="20">
        <v>6</v>
      </c>
      <c r="B23" s="26"/>
      <c r="C23" s="26"/>
      <c r="D23" s="26"/>
      <c r="E23" s="24" t="str">
        <f t="shared" si="0"/>
        <v/>
      </c>
      <c r="F23" s="26"/>
    </row>
    <row r="24" spans="1:6" ht="25.5" customHeight="1" x14ac:dyDescent="0.3">
      <c r="A24" s="14">
        <v>7</v>
      </c>
      <c r="B24" s="27"/>
      <c r="C24" s="27"/>
      <c r="D24" s="27"/>
      <c r="E24" s="18" t="str">
        <f t="shared" si="0"/>
        <v/>
      </c>
      <c r="F24" s="27"/>
    </row>
    <row r="25" spans="1:6" ht="25.5" customHeight="1" x14ac:dyDescent="0.3">
      <c r="A25" s="20">
        <v>8</v>
      </c>
      <c r="B25" s="26"/>
      <c r="C25" s="26"/>
      <c r="D25" s="26"/>
      <c r="E25" s="24" t="str">
        <f t="shared" si="0"/>
        <v/>
      </c>
      <c r="F25" s="26"/>
    </row>
    <row r="26" spans="1:6" ht="25.5" customHeight="1" x14ac:dyDescent="0.3">
      <c r="A26" s="72" t="s">
        <v>37</v>
      </c>
      <c r="B26" s="69"/>
      <c r="C26" s="5">
        <v>3000000</v>
      </c>
      <c r="D26" s="28" t="s">
        <v>8</v>
      </c>
      <c r="E26" s="75" t="s">
        <v>38</v>
      </c>
      <c r="F26" s="69"/>
    </row>
    <row r="27" spans="1:6" ht="25.5" customHeight="1" x14ac:dyDescent="0.3">
      <c r="A27" s="68" t="s">
        <v>39</v>
      </c>
      <c r="B27" s="69"/>
      <c r="C27" s="29">
        <f>IFERROR(C26*12*C11,0)</f>
        <v>900000000</v>
      </c>
      <c r="D27" s="30" t="s">
        <v>40</v>
      </c>
      <c r="E27" s="74" t="s">
        <v>41</v>
      </c>
      <c r="F27" s="69"/>
    </row>
    <row r="28" spans="1:6" ht="25.5" customHeight="1" x14ac:dyDescent="0.3">
      <c r="A28" s="80" t="s">
        <v>42</v>
      </c>
      <c r="B28" s="69"/>
      <c r="C28" s="6">
        <v>7.0000000000000007E-2</v>
      </c>
      <c r="D28" s="4" t="s">
        <v>11</v>
      </c>
      <c r="E28" s="62" t="s">
        <v>43</v>
      </c>
      <c r="F28" s="51"/>
    </row>
    <row r="29" spans="1:6" ht="27.75" customHeight="1" x14ac:dyDescent="0.3">
      <c r="A29" s="78" t="s">
        <v>44</v>
      </c>
      <c r="B29" s="51"/>
      <c r="C29" s="48">
        <f>SUM(C18:C25)</f>
        <v>680000000</v>
      </c>
      <c r="D29" s="49" t="s">
        <v>45</v>
      </c>
      <c r="E29" s="48">
        <f>SUM(E18:E25)</f>
        <v>2975853748</v>
      </c>
      <c r="F29" s="50"/>
    </row>
    <row r="30" spans="1:6" ht="27.75" customHeight="1" x14ac:dyDescent="0.3">
      <c r="A30" s="54"/>
      <c r="B30" s="55"/>
      <c r="C30" s="1"/>
      <c r="D30" s="1"/>
      <c r="E30" s="54"/>
      <c r="F30" s="55"/>
    </row>
    <row r="31" spans="1:6" ht="27.75" customHeight="1" x14ac:dyDescent="0.3">
      <c r="A31" s="81" t="s">
        <v>46</v>
      </c>
      <c r="B31" s="51"/>
      <c r="C31" s="32"/>
      <c r="D31" s="32"/>
      <c r="E31" s="51"/>
      <c r="F31" s="51"/>
    </row>
    <row r="32" spans="1:6" ht="27.75" customHeight="1" x14ac:dyDescent="0.3">
      <c r="A32" s="60" t="s">
        <v>47</v>
      </c>
      <c r="B32" s="51"/>
      <c r="C32" s="33">
        <f>C13</f>
        <v>13146738858.200529</v>
      </c>
      <c r="D32" s="34"/>
      <c r="E32" s="71" t="s">
        <v>48</v>
      </c>
      <c r="F32" s="51"/>
    </row>
    <row r="33" spans="1:6" ht="27.75" customHeight="1" x14ac:dyDescent="0.3">
      <c r="A33" s="73" t="s">
        <v>49</v>
      </c>
      <c r="B33" s="51"/>
      <c r="C33" s="35">
        <f>E29</f>
        <v>2975853748</v>
      </c>
      <c r="D33" s="36"/>
      <c r="E33" s="57" t="s">
        <v>50</v>
      </c>
      <c r="F33" s="51"/>
    </row>
    <row r="34" spans="1:6" ht="27.75" customHeight="1" x14ac:dyDescent="0.3">
      <c r="A34" s="60" t="s">
        <v>51</v>
      </c>
      <c r="B34" s="51"/>
      <c r="C34" s="33">
        <f>MAX(C32-C33-C27,0)</f>
        <v>9270885110.2005291</v>
      </c>
      <c r="D34" s="34"/>
      <c r="E34" s="71" t="s">
        <v>52</v>
      </c>
      <c r="F34" s="51"/>
    </row>
    <row r="35" spans="1:6" ht="27.75" customHeight="1" x14ac:dyDescent="0.3">
      <c r="A35" s="73" t="s">
        <v>53</v>
      </c>
      <c r="B35" s="51"/>
      <c r="C35" s="35">
        <f>IFERROR(IF(C34&lt;=0,0,PMT(C28/12,C10*12,0,-C34)),0)</f>
        <v>17796910.438997004</v>
      </c>
      <c r="D35" s="37"/>
      <c r="E35" s="57" t="s">
        <v>54</v>
      </c>
      <c r="F35" s="51"/>
    </row>
    <row r="36" spans="1:6" ht="46.8" customHeight="1" x14ac:dyDescent="0.3">
      <c r="A36" s="60" t="s">
        <v>55</v>
      </c>
      <c r="B36" s="51"/>
      <c r="C36" s="38" t="str">
        <f>IF(C34&lt;=0,"✅ Bạn đang đi đúng hướng! Tiếp tục duy trì kế hoạch hiện tại.","⚠️ Cần tích lũy thêm "&amp;TEXT(C35,"#,##0")&amp;" VNĐ/tháng. Hãy xem lại kế hoạch đầu tư!")</f>
        <v>⚠️ Cần tích lũy thêm 17,796,910 VNĐ/tháng. Hãy xem lại kế hoạch đầu tư!</v>
      </c>
      <c r="D36" s="34"/>
      <c r="E36" s="71"/>
      <c r="F36" s="51"/>
    </row>
    <row r="37" spans="1:6" ht="24" customHeight="1" x14ac:dyDescent="0.3">
      <c r="A37" s="54"/>
      <c r="B37" s="55"/>
      <c r="C37" s="55"/>
      <c r="D37" s="55"/>
      <c r="E37" s="55"/>
      <c r="F37" s="55"/>
    </row>
    <row r="38" spans="1:6" ht="25.5" customHeight="1" x14ac:dyDescent="0.3">
      <c r="A38" s="77" t="s">
        <v>56</v>
      </c>
      <c r="B38" s="51"/>
      <c r="C38" s="32"/>
      <c r="D38" s="32"/>
      <c r="E38" s="32"/>
      <c r="F38" s="32"/>
    </row>
    <row r="39" spans="1:6" ht="25.5" customHeight="1" x14ac:dyDescent="0.3">
      <c r="A39" s="82" t="s">
        <v>22</v>
      </c>
      <c r="B39" s="51"/>
      <c r="C39" s="39" t="s">
        <v>57</v>
      </c>
      <c r="D39" s="83" t="s">
        <v>100</v>
      </c>
      <c r="E39" s="39" t="s">
        <v>27</v>
      </c>
      <c r="F39" s="40"/>
    </row>
    <row r="40" spans="1:6" ht="25.5" customHeight="1" x14ac:dyDescent="0.3">
      <c r="A40" s="84" t="s">
        <v>58</v>
      </c>
      <c r="B40" s="85"/>
      <c r="C40" s="32"/>
      <c r="D40" s="32"/>
      <c r="E40" s="32"/>
      <c r="F40" s="32"/>
    </row>
    <row r="41" spans="1:6" ht="25.5" customHeight="1" x14ac:dyDescent="0.3">
      <c r="A41" s="58">
        <v>1</v>
      </c>
      <c r="B41" s="51"/>
      <c r="C41" s="41" t="s">
        <v>59</v>
      </c>
      <c r="D41" s="42" t="s">
        <v>60</v>
      </c>
      <c r="E41" s="43" t="s">
        <v>61</v>
      </c>
      <c r="F41" s="31"/>
    </row>
    <row r="42" spans="1:6" ht="25.5" customHeight="1" x14ac:dyDescent="0.3">
      <c r="A42" s="65">
        <v>2</v>
      </c>
      <c r="B42" s="51"/>
      <c r="C42" s="44" t="s">
        <v>62</v>
      </c>
      <c r="D42" s="42" t="s">
        <v>60</v>
      </c>
      <c r="E42" s="45" t="s">
        <v>63</v>
      </c>
      <c r="F42" s="46"/>
    </row>
    <row r="43" spans="1:6" ht="25.5" customHeight="1" x14ac:dyDescent="0.3">
      <c r="A43" s="58">
        <v>3</v>
      </c>
      <c r="B43" s="51"/>
      <c r="C43" s="41" t="s">
        <v>64</v>
      </c>
      <c r="D43" s="42" t="s">
        <v>60</v>
      </c>
      <c r="E43" s="43" t="s">
        <v>65</v>
      </c>
      <c r="F43" s="31"/>
    </row>
    <row r="44" spans="1:6" ht="25.5" customHeight="1" x14ac:dyDescent="0.3">
      <c r="A44" s="65">
        <v>4</v>
      </c>
      <c r="B44" s="51"/>
      <c r="C44" s="44" t="s">
        <v>66</v>
      </c>
      <c r="D44" s="42" t="s">
        <v>60</v>
      </c>
      <c r="E44" s="45" t="s">
        <v>67</v>
      </c>
      <c r="F44" s="46"/>
    </row>
    <row r="45" spans="1:6" ht="24" customHeight="1" x14ac:dyDescent="0.3">
      <c r="A45" s="58">
        <v>5</v>
      </c>
      <c r="B45" s="51"/>
      <c r="C45" s="41" t="s">
        <v>68</v>
      </c>
      <c r="D45" s="42" t="s">
        <v>60</v>
      </c>
      <c r="E45" s="43" t="s">
        <v>69</v>
      </c>
      <c r="F45" s="31"/>
    </row>
    <row r="46" spans="1:6" ht="25.5" customHeight="1" x14ac:dyDescent="0.3">
      <c r="A46" s="65">
        <v>6</v>
      </c>
      <c r="B46" s="51"/>
      <c r="C46" s="44" t="s">
        <v>70</v>
      </c>
      <c r="D46" s="42" t="s">
        <v>60</v>
      </c>
      <c r="E46" s="45" t="s">
        <v>71</v>
      </c>
      <c r="F46" s="46"/>
    </row>
    <row r="47" spans="1:6" ht="25.5" customHeight="1" x14ac:dyDescent="0.3">
      <c r="A47" s="58">
        <v>7</v>
      </c>
      <c r="B47" s="51"/>
      <c r="C47" s="41" t="s">
        <v>72</v>
      </c>
      <c r="D47" s="42" t="s">
        <v>60</v>
      </c>
      <c r="E47" s="43" t="s">
        <v>73</v>
      </c>
      <c r="F47" s="31"/>
    </row>
    <row r="48" spans="1:6" ht="25.5" customHeight="1" x14ac:dyDescent="0.3">
      <c r="A48" s="84" t="s">
        <v>74</v>
      </c>
      <c r="B48" s="85"/>
      <c r="C48" s="32"/>
      <c r="D48" s="32"/>
      <c r="E48" s="32"/>
      <c r="F48" s="32"/>
    </row>
    <row r="49" spans="1:6" ht="25.5" customHeight="1" x14ac:dyDescent="0.3">
      <c r="A49" s="58">
        <v>1</v>
      </c>
      <c r="B49" s="51"/>
      <c r="C49" s="41" t="s">
        <v>75</v>
      </c>
      <c r="D49" s="42" t="s">
        <v>60</v>
      </c>
      <c r="E49" s="43" t="s">
        <v>76</v>
      </c>
      <c r="F49" s="31"/>
    </row>
    <row r="50" spans="1:6" ht="26.4" x14ac:dyDescent="0.3">
      <c r="A50" s="65">
        <v>2</v>
      </c>
      <c r="B50" s="51"/>
      <c r="C50" s="44" t="s">
        <v>77</v>
      </c>
      <c r="D50" s="42" t="s">
        <v>60</v>
      </c>
      <c r="E50" s="45" t="s">
        <v>78</v>
      </c>
      <c r="F50" s="46"/>
    </row>
    <row r="51" spans="1:6" ht="25.5" customHeight="1" x14ac:dyDescent="0.3">
      <c r="A51" s="58">
        <v>3</v>
      </c>
      <c r="B51" s="51"/>
      <c r="C51" s="41" t="s">
        <v>79</v>
      </c>
      <c r="D51" s="42" t="s">
        <v>60</v>
      </c>
      <c r="E51" s="43" t="s">
        <v>80</v>
      </c>
      <c r="F51" s="31"/>
    </row>
    <row r="52" spans="1:6" ht="25.5" customHeight="1" x14ac:dyDescent="0.3">
      <c r="A52" s="65">
        <v>4</v>
      </c>
      <c r="B52" s="51"/>
      <c r="C52" s="44" t="s">
        <v>81</v>
      </c>
      <c r="D52" s="42" t="s">
        <v>60</v>
      </c>
      <c r="E52" s="45"/>
      <c r="F52" s="46"/>
    </row>
    <row r="53" spans="1:6" ht="25.5" customHeight="1" x14ac:dyDescent="0.3">
      <c r="A53" s="84" t="s">
        <v>82</v>
      </c>
      <c r="B53" s="85"/>
      <c r="C53" s="32"/>
      <c r="D53" s="32"/>
      <c r="E53" s="32"/>
      <c r="F53" s="32"/>
    </row>
    <row r="54" spans="1:6" ht="25.5" customHeight="1" x14ac:dyDescent="0.3">
      <c r="A54" s="58">
        <v>1</v>
      </c>
      <c r="B54" s="51"/>
      <c r="C54" s="41" t="s">
        <v>83</v>
      </c>
      <c r="D54" s="42" t="s">
        <v>60</v>
      </c>
      <c r="E54" s="43" t="s">
        <v>84</v>
      </c>
      <c r="F54" s="31"/>
    </row>
    <row r="55" spans="1:6" ht="25.5" customHeight="1" x14ac:dyDescent="0.3">
      <c r="A55" s="65">
        <v>2</v>
      </c>
      <c r="B55" s="51"/>
      <c r="C55" s="44" t="s">
        <v>85</v>
      </c>
      <c r="D55" s="42" t="s">
        <v>60</v>
      </c>
      <c r="E55" s="45" t="s">
        <v>86</v>
      </c>
      <c r="F55" s="46"/>
    </row>
    <row r="56" spans="1:6" ht="24" customHeight="1" x14ac:dyDescent="0.3">
      <c r="A56" s="58">
        <v>3</v>
      </c>
      <c r="B56" s="51"/>
      <c r="C56" s="41" t="s">
        <v>87</v>
      </c>
      <c r="D56" s="42" t="s">
        <v>60</v>
      </c>
      <c r="E56" s="43" t="s">
        <v>88</v>
      </c>
      <c r="F56" s="31"/>
    </row>
    <row r="57" spans="1:6" ht="25.5" customHeight="1" x14ac:dyDescent="0.3">
      <c r="A57" s="65">
        <v>4</v>
      </c>
      <c r="B57" s="51"/>
      <c r="C57" s="44" t="s">
        <v>89</v>
      </c>
      <c r="D57" s="42" t="s">
        <v>60</v>
      </c>
      <c r="E57" s="45"/>
      <c r="F57" s="46"/>
    </row>
    <row r="58" spans="1:6" ht="25.5" customHeight="1" x14ac:dyDescent="0.3">
      <c r="A58" s="58">
        <v>5</v>
      </c>
      <c r="B58" s="51"/>
      <c r="C58" s="41" t="s">
        <v>90</v>
      </c>
      <c r="D58" s="42" t="s">
        <v>60</v>
      </c>
      <c r="E58" s="43" t="s">
        <v>91</v>
      </c>
      <c r="F58" s="31"/>
    </row>
    <row r="59" spans="1:6" ht="25.5" customHeight="1" x14ac:dyDescent="0.3">
      <c r="A59" s="84" t="s">
        <v>92</v>
      </c>
      <c r="B59" s="85"/>
      <c r="C59" s="32"/>
      <c r="D59" s="32"/>
      <c r="E59" s="32"/>
      <c r="F59" s="32"/>
    </row>
    <row r="60" spans="1:6" ht="28.2" customHeight="1" x14ac:dyDescent="0.3">
      <c r="A60" s="58">
        <v>1</v>
      </c>
      <c r="B60" s="51"/>
      <c r="C60" s="41" t="s">
        <v>93</v>
      </c>
      <c r="D60" s="42" t="s">
        <v>60</v>
      </c>
      <c r="E60" s="43" t="s">
        <v>94</v>
      </c>
      <c r="F60" s="31"/>
    </row>
    <row r="61" spans="1:6" ht="21.75" customHeight="1" x14ac:dyDescent="0.3">
      <c r="A61" s="65">
        <v>2</v>
      </c>
      <c r="B61" s="51"/>
      <c r="C61" s="44" t="s">
        <v>95</v>
      </c>
      <c r="D61" s="42" t="s">
        <v>60</v>
      </c>
      <c r="E61" s="45" t="s">
        <v>96</v>
      </c>
      <c r="F61" s="46"/>
    </row>
    <row r="62" spans="1:6" ht="26.4" x14ac:dyDescent="0.3">
      <c r="A62" s="58">
        <v>3</v>
      </c>
      <c r="B62" s="51"/>
      <c r="C62" s="41" t="s">
        <v>97</v>
      </c>
      <c r="D62" s="42" t="s">
        <v>60</v>
      </c>
      <c r="E62" s="43" t="s">
        <v>98</v>
      </c>
      <c r="F62" s="31"/>
    </row>
    <row r="64" spans="1:6" ht="15" customHeight="1" x14ac:dyDescent="0.3">
      <c r="A64" s="47" t="s">
        <v>99</v>
      </c>
      <c r="B64" s="32"/>
      <c r="C64" s="32"/>
      <c r="D64" s="32"/>
      <c r="E64" s="32"/>
      <c r="F64" s="32"/>
    </row>
  </sheetData>
  <mergeCells count="70">
    <mergeCell ref="A60:B60"/>
    <mergeCell ref="A61:B61"/>
    <mergeCell ref="A62:B62"/>
    <mergeCell ref="A45:B45"/>
    <mergeCell ref="A1:F1"/>
    <mergeCell ref="A10:B10"/>
    <mergeCell ref="A28:B28"/>
    <mergeCell ref="A13:B13"/>
    <mergeCell ref="A44:B44"/>
    <mergeCell ref="A40:B40"/>
    <mergeCell ref="A9:B9"/>
    <mergeCell ref="A31:B31"/>
    <mergeCell ref="A39:B39"/>
    <mergeCell ref="A34:B34"/>
    <mergeCell ref="A5:B5"/>
    <mergeCell ref="E27:F27"/>
    <mergeCell ref="A32:B32"/>
    <mergeCell ref="A42:B42"/>
    <mergeCell ref="A47:B47"/>
    <mergeCell ref="E36:F36"/>
    <mergeCell ref="E26:F26"/>
    <mergeCell ref="A8:B8"/>
    <mergeCell ref="A15:F15"/>
    <mergeCell ref="A35:B35"/>
    <mergeCell ref="A38:B38"/>
    <mergeCell ref="A29:B29"/>
    <mergeCell ref="E32:F32"/>
    <mergeCell ref="E7:F7"/>
    <mergeCell ref="A43:B43"/>
    <mergeCell ref="E6:F6"/>
    <mergeCell ref="E30:F30"/>
    <mergeCell ref="A57:B57"/>
    <mergeCell ref="A33:B33"/>
    <mergeCell ref="E11:F11"/>
    <mergeCell ref="A53:B53"/>
    <mergeCell ref="A52:B52"/>
    <mergeCell ref="A50:B50"/>
    <mergeCell ref="A56:B56"/>
    <mergeCell ref="E5:F5"/>
    <mergeCell ref="A36:B36"/>
    <mergeCell ref="A6:B6"/>
    <mergeCell ref="E8:F8"/>
    <mergeCell ref="A2:F2"/>
    <mergeCell ref="E35:F35"/>
    <mergeCell ref="A7:B7"/>
    <mergeCell ref="E10:F10"/>
    <mergeCell ref="E28:F28"/>
    <mergeCell ref="E13:F13"/>
    <mergeCell ref="A4:F4"/>
    <mergeCell ref="A27:B27"/>
    <mergeCell ref="E9:F9"/>
    <mergeCell ref="E31:F31"/>
    <mergeCell ref="A12:B12"/>
    <mergeCell ref="E34:F34"/>
    <mergeCell ref="A11:B11"/>
    <mergeCell ref="E33:F33"/>
    <mergeCell ref="A37:F37"/>
    <mergeCell ref="A49:B49"/>
    <mergeCell ref="A51:B51"/>
    <mergeCell ref="A41:B41"/>
    <mergeCell ref="A46:B46"/>
    <mergeCell ref="A26:B26"/>
    <mergeCell ref="A48:B48"/>
    <mergeCell ref="E12:F12"/>
    <mergeCell ref="A16:F16"/>
    <mergeCell ref="A30:B30"/>
    <mergeCell ref="A59:B59"/>
    <mergeCell ref="A54:B54"/>
    <mergeCell ref="A55:B55"/>
    <mergeCell ref="A58:B58"/>
  </mergeCells>
  <dataValidations count="1">
    <dataValidation type="list" allowBlank="1" sqref="D37:D60" xr:uid="{00000000-0002-0000-0000-000000000000}">
      <formula1>"⬜ Chưa làm,🟡 Đang làm,✅ Hoàn thành"</formula1>
      <formula2>0</formula2>
    </dataValidation>
  </dataValidations>
  <pageMargins left="0.75" right="0.75" top="1" bottom="1"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Retirement Planner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cp:revision>0</cp:revision>
  <dcterms:created xsi:type="dcterms:W3CDTF">2026-06-01T16:12:38Z</dcterms:created>
  <dcterms:modified xsi:type="dcterms:W3CDTF">2026-06-02T02:37:12Z</dcterms:modified>
  <dc:language>en-US</dc:language>
</cp:coreProperties>
</file>