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rtfolio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<sst xmlns="http://schemas.openxmlformats.org/spreadsheetml/2006/main" uniqueCount="46">
  <si>
    <t>📈  INVESTMENT TRACKER — THEO DÕI DANH MỤC ĐẦU TƯ</t>
  </si>
  <si>
    <t>Loại tài sản</t>
  </si>
  <si>
    <t>Giá trị</t>
  </si>
  <si>
    <t>📅  Thời điểm cập nhật: _____ / _____ / _________     (Giá hiện tại thay đổi liên tục — hãy cập nhật định kỳ)</t>
  </si>
  <si>
    <t>Cổ phiếu</t>
  </si>
  <si>
    <t>Trái phiếu</t>
  </si>
  <si>
    <t>📊  TỔNG QUAN DANH MỤC</t>
  </si>
  <si>
    <t>Quỹ mở</t>
  </si>
  <si>
    <t>TỔNG VỐN BỎ VÀO</t>
  </si>
  <si>
    <t>GIÁ TRỊ HIỆN TẠI</t>
  </si>
  <si>
    <t>LÃI / LỖ (VNĐ)</t>
  </si>
  <si>
    <t>% LÃI / LỖ</t>
  </si>
  <si>
    <t>Tiền gửi có kỳ hạn</t>
  </si>
  <si>
    <t>Bất động sản</t>
  </si>
  <si>
    <t>Vàng</t>
  </si>
  <si>
    <t>🗂️  CƠ CẤU THEO LOẠI TÀI SẢN</t>
  </si>
  <si>
    <t>Khác</t>
  </si>
  <si>
    <t>STT</t>
  </si>
  <si>
    <t>TÊN TÀI SẢN</t>
  </si>
  <si>
    <t>LOẠI TÀI SẢN</t>
  </si>
  <si>
    <t>NGÀY MUA</t>
  </si>
  <si>
    <t>SỐ
LƯỢNG</t>
  </si>
  <si>
    <t>GIÁ VỐN
/ ĐƠN VỊ (VNĐ)</t>
  </si>
  <si>
    <t>TỔNG VỐN
(VNĐ)</t>
  </si>
  <si>
    <t>GIÁ HIỆN TẠI
/ ĐƠN VỊ (VNĐ)</t>
  </si>
  <si>
    <t>GIÁ TRỊ
HIỆN TẠI (VNĐ)</t>
  </si>
  <si>
    <t>LÃI / LỖ
(VNĐ)</t>
  </si>
  <si>
    <t>% LÃI
/ LỖ</t>
  </si>
  <si>
    <t>% DANH
MỤC</t>
  </si>
  <si>
    <t>GHI CHÚ</t>
  </si>
  <si>
    <t>VNM</t>
  </si>
  <si>
    <t>15/01/2026</t>
  </si>
  <si>
    <t>Vinamilk - cổ tức ổn định</t>
  </si>
  <si>
    <t>DCDS</t>
  </si>
  <si>
    <t>01/02/2026</t>
  </si>
  <si>
    <t>DCA hàng tháng</t>
  </si>
  <si>
    <t>Vàng SJC</t>
  </si>
  <si>
    <t>10/03/2026</t>
  </si>
  <si>
    <t>2 chỉ vàng SJC</t>
  </si>
  <si>
    <t>FPT</t>
  </si>
  <si>
    <t>20/01/2026</t>
  </si>
  <si>
    <t>Cổ phiếu công nghệ</t>
  </si>
  <si>
    <t>TCBF</t>
  </si>
  <si>
    <t>05/02/2026</t>
  </si>
  <si>
    <t>Quỹ trái phiếu</t>
  </si>
  <si>
    <t>💡  Mẹo: Cập nhật cột "Giá hiện tại / đơn vị" định kỳ để theo dõi lãi/lỗ chính xác. Ghi rõ thời điểm cập nhật ở đầu file.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</si>
</sst>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1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5"/>
      <color indexed="9"/>
      <name val="Arial"/>
    </font>
    <font>
      <sz val="9"/>
      <color indexed="13"/>
      <name val="Arial"/>
    </font>
    <font>
      <i val="1"/>
      <sz val="10"/>
      <color indexed="10"/>
      <name val="Arial"/>
    </font>
    <font>
      <b val="1"/>
      <sz val="11"/>
      <color indexed="9"/>
      <name val="Arial"/>
    </font>
    <font>
      <b val="1"/>
      <sz val="9"/>
      <color indexed="9"/>
      <name val="Arial"/>
    </font>
    <font>
      <b val="1"/>
      <sz val="13"/>
      <color indexed="8"/>
      <name val="Arial"/>
    </font>
    <font>
      <b val="1"/>
      <sz val="10"/>
      <color indexed="9"/>
      <name val="Arial"/>
    </font>
    <font>
      <sz val="10"/>
      <color indexed="18"/>
      <name val="Arial"/>
    </font>
    <font>
      <b val="1"/>
      <sz val="10"/>
      <color indexed="10"/>
      <name val="Arial"/>
    </font>
    <font>
      <sz val="10"/>
      <color indexed="20"/>
      <name val="Arial"/>
    </font>
    <font>
      <i val="1"/>
      <sz val="10"/>
      <color indexed="21"/>
      <name val="Arial"/>
    </font>
    <font>
      <i val="1"/>
      <sz val="9"/>
      <color indexed="17"/>
      <name val="Arial"/>
    </font>
    <font>
      <sz val="10"/>
      <color indexed="8"/>
      <name val="Arial"/>
    </font>
    <font>
      <sz val="10"/>
      <color indexed="8"/>
      <name val="Calibri"/>
    </font>
    <font>
      <b val="1"/>
      <sz val="18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horizontal="left" vertical="center"/>
    </xf>
    <xf numFmtId="0" fontId="5" fillId="3" borderId="1" applyNumberFormat="0" applyFont="1" applyFill="1" applyBorder="1" applyAlignment="1" applyProtection="0">
      <alignment horizontal="left" vertical="center"/>
    </xf>
    <xf numFmtId="0" fontId="5" fillId="3" borderId="2" applyNumberFormat="0" applyFont="1" applyFill="1" applyBorder="1" applyAlignment="1" applyProtection="0">
      <alignment horizontal="left" vertical="center"/>
    </xf>
    <xf numFmtId="3" fontId="4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horizontal="left" vertical="center"/>
    </xf>
    <xf numFmtId="0" fontId="6" fillId="2" borderId="1" applyNumberFormat="0" applyFont="1" applyFill="1" applyBorder="1" applyAlignment="1" applyProtection="0">
      <alignment horizontal="left" vertical="center"/>
    </xf>
    <xf numFmtId="0" fontId="6" fillId="2" borderId="2" applyNumberFormat="0" applyFont="1" applyFill="1" applyBorder="1" applyAlignment="1" applyProtection="0">
      <alignment horizontal="left" vertical="center"/>
    </xf>
    <xf numFmtId="49" fontId="7" fillId="4" borderId="1" applyNumberFormat="1" applyFont="1" applyFill="1" applyBorder="1" applyAlignment="1" applyProtection="0">
      <alignment horizontal="center" vertical="center"/>
    </xf>
    <xf numFmtId="0" fontId="7" fillId="4" borderId="1" applyNumberFormat="0" applyFont="1" applyFill="1" applyBorder="1" applyAlignment="1" applyProtection="0">
      <alignment horizontal="center" vertical="center"/>
    </xf>
    <xf numFmtId="49" fontId="7" fillId="2" borderId="1" applyNumberFormat="1" applyFont="1" applyFill="1" applyBorder="1" applyAlignment="1" applyProtection="0">
      <alignment horizontal="center" vertical="center"/>
    </xf>
    <xf numFmtId="0" fontId="7" fillId="2" borderId="1" applyNumberFormat="0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3" fontId="8" fillId="5" borderId="1" applyNumberFormat="1" applyFont="1" applyFill="1" applyBorder="1" applyAlignment="1" applyProtection="0">
      <alignment horizontal="center" vertical="center"/>
    </xf>
    <xf numFmtId="3" fontId="8" fillId="3" borderId="1" applyNumberFormat="1" applyFont="1" applyFill="1" applyBorder="1" applyAlignment="1" applyProtection="0">
      <alignment horizontal="center" vertical="center"/>
    </xf>
    <xf numFmtId="59" fontId="8" fillId="3" borderId="1" applyNumberFormat="1" applyFont="1" applyFill="1" applyBorder="1" applyAlignment="1" applyProtection="0">
      <alignment horizontal="center" vertical="center"/>
    </xf>
    <xf numFmtId="49" fontId="6" fillId="6" borderId="1" applyNumberFormat="1" applyFont="1" applyFill="1" applyBorder="1" applyAlignment="1" applyProtection="0">
      <alignment horizontal="left" vertical="center"/>
    </xf>
    <xf numFmtId="0" fontId="6" fillId="6" borderId="1" applyNumberFormat="0" applyFont="1" applyFill="1" applyBorder="1" applyAlignment="1" applyProtection="0">
      <alignment horizontal="left" vertical="center"/>
    </xf>
    <xf numFmtId="0" fontId="6" fillId="6" borderId="2" applyNumberFormat="0" applyFont="1" applyFill="1" applyBorder="1" applyAlignment="1" applyProtection="0">
      <alignment horizontal="left" vertical="center"/>
    </xf>
    <xf numFmtId="0" fontId="9" fillId="3" borderId="1" applyNumberFormat="0" applyFont="1" applyFill="1" applyBorder="1" applyAlignment="1" applyProtection="0">
      <alignment horizontal="center" vertical="center"/>
    </xf>
    <xf numFmtId="49" fontId="7" fillId="2" borderId="1" applyNumberFormat="1" applyFont="1" applyFill="1" applyBorder="1" applyAlignment="1" applyProtection="0">
      <alignment horizontal="center" vertical="center" wrapText="1"/>
    </xf>
    <xf numFmtId="0" fontId="10" fillId="7" borderId="1" applyNumberFormat="1" applyFont="1" applyFill="1" applyBorder="1" applyAlignment="1" applyProtection="0">
      <alignment horizontal="center" vertical="center"/>
    </xf>
    <xf numFmtId="49" fontId="11" fillId="7" borderId="1" applyNumberFormat="1" applyFont="1" applyFill="1" applyBorder="1" applyAlignment="1" applyProtection="0">
      <alignment horizontal="left" vertical="center"/>
    </xf>
    <xf numFmtId="49" fontId="10" fillId="7" borderId="1" applyNumberFormat="1" applyFont="1" applyFill="1" applyBorder="1" applyAlignment="1" applyProtection="0">
      <alignment horizontal="center" vertical="center"/>
    </xf>
    <xf numFmtId="3" fontId="12" fillId="7" borderId="1" applyNumberFormat="1" applyFont="1" applyFill="1" applyBorder="1" applyAlignment="1" applyProtection="0">
      <alignment horizontal="right" vertical="center"/>
    </xf>
    <xf numFmtId="3" fontId="10" fillId="7" borderId="1" applyNumberFormat="1" applyFont="1" applyFill="1" applyBorder="1" applyAlignment="1" applyProtection="0">
      <alignment horizontal="right" vertical="center"/>
    </xf>
    <xf numFmtId="59" fontId="10" fillId="7" borderId="1" applyNumberFormat="1" applyFont="1" applyFill="1" applyBorder="1" applyAlignment="1" applyProtection="0">
      <alignment horizontal="center" vertical="center"/>
    </xf>
    <xf numFmtId="49" fontId="13" fillId="7" borderId="1" applyNumberFormat="1" applyFont="1" applyFill="1" applyBorder="1" applyAlignment="1" applyProtection="0">
      <alignment horizontal="left" vertical="center"/>
    </xf>
    <xf numFmtId="0" fontId="10" fillId="3" borderId="1" applyNumberFormat="1" applyFont="1" applyFill="1" applyBorder="1" applyAlignment="1" applyProtection="0">
      <alignment horizontal="center" vertical="center"/>
    </xf>
    <xf numFmtId="49" fontId="11" fillId="3" borderId="1" applyNumberFormat="1" applyFont="1" applyFill="1" applyBorder="1" applyAlignment="1" applyProtection="0">
      <alignment horizontal="left" vertical="center"/>
    </xf>
    <xf numFmtId="49" fontId="10" fillId="3" borderId="1" applyNumberFormat="1" applyFont="1" applyFill="1" applyBorder="1" applyAlignment="1" applyProtection="0">
      <alignment horizontal="center" vertical="center"/>
    </xf>
    <xf numFmtId="3" fontId="12" fillId="3" borderId="1" applyNumberFormat="1" applyFont="1" applyFill="1" applyBorder="1" applyAlignment="1" applyProtection="0">
      <alignment horizontal="right" vertical="center"/>
    </xf>
    <xf numFmtId="3" fontId="10" fillId="3" borderId="1" applyNumberFormat="1" applyFont="1" applyFill="1" applyBorder="1" applyAlignment="1" applyProtection="0">
      <alignment horizontal="right" vertical="center"/>
    </xf>
    <xf numFmtId="59" fontId="10" fillId="3" borderId="1" applyNumberFormat="1" applyFont="1" applyFill="1" applyBorder="1" applyAlignment="1" applyProtection="0">
      <alignment horizontal="center" vertical="center"/>
    </xf>
    <xf numFmtId="49" fontId="13" fillId="3" borderId="1" applyNumberFormat="1" applyFont="1" applyFill="1" applyBorder="1" applyAlignment="1" applyProtection="0">
      <alignment horizontal="left" vertical="center"/>
    </xf>
    <xf numFmtId="0" fontId="10" fillId="3" borderId="1" applyNumberFormat="0" applyFont="1" applyFill="1" applyBorder="1" applyAlignment="1" applyProtection="0">
      <alignment horizontal="right" vertical="center"/>
    </xf>
    <xf numFmtId="0" fontId="10" fillId="3" borderId="1" applyNumberFormat="0" applyFont="1" applyFill="1" applyBorder="1" applyAlignment="1" applyProtection="0">
      <alignment horizontal="center" vertical="center"/>
    </xf>
    <xf numFmtId="0" fontId="0" fillId="7" borderId="1" applyNumberFormat="0" applyFont="1" applyFill="1" applyBorder="1" applyAlignment="1" applyProtection="0">
      <alignment vertical="bottom"/>
    </xf>
    <xf numFmtId="0" fontId="10" fillId="7" borderId="1" applyNumberFormat="0" applyFont="1" applyFill="1" applyBorder="1" applyAlignment="1" applyProtection="0">
      <alignment horizontal="right" vertical="center"/>
    </xf>
    <xf numFmtId="0" fontId="10" fillId="7" borderId="1" applyNumberFormat="0" applyFont="1" applyFill="1" applyBorder="1" applyAlignment="1" applyProtection="0">
      <alignment horizontal="center" vertical="center"/>
    </xf>
    <xf numFmtId="49" fontId="14" fillId="7" borderId="1" applyNumberFormat="1" applyFont="1" applyFill="1" applyBorder="1" applyAlignment="1" applyProtection="0">
      <alignment horizontal="left" vertical="center"/>
    </xf>
    <xf numFmtId="0" fontId="14" fillId="7" borderId="1" applyNumberFormat="0" applyFont="1" applyFill="1" applyBorder="1" applyAlignment="1" applyProtection="0">
      <alignment horizontal="left" vertical="center"/>
    </xf>
    <xf numFmtId="0" fontId="14" fillId="7" borderId="2" applyNumberFormat="0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c3d2e"/>
      <rgbColor rgb="ffd4b896"/>
      <rgbColor rgb="ffaaaaaa"/>
      <rgbColor rgb="ffdddddd"/>
      <rgbColor rgb="fff5ecd7"/>
      <rgbColor rgb="ff1b5e20"/>
      <rgbColor rgb="ffe8f5e9"/>
      <rgbColor rgb="ff8b5e3c"/>
      <rgbColor rgb="ff2c1810"/>
      <rgbColor rgb="fffdf6ec"/>
      <rgbColor rgb="ff0000ff"/>
      <rgbColor rgb="ff757575"/>
      <rgbColor rgb="ffd9d9d9"/>
      <rgbColor rgb="ff4672a8"/>
      <rgbColor rgb="ffab4744"/>
      <rgbColor rgb="ff8aa64f"/>
      <rgbColor rgb="ff725990"/>
      <rgbColor rgb="ff4299b0"/>
      <rgbColor rgb="ffdc853e"/>
      <rgbColor rgb="ff93a9c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Cơ cấu danh mục</a:t>
            </a:r>
          </a:p>
        </c:rich>
      </c:tx>
      <c:layout>
        <c:manualLayout>
          <c:xMode val="edge"/>
          <c:yMode val="edge"/>
          <c:x val="0.0285537"/>
          <c:y val="0"/>
          <c:w val="0.272698"/>
          <c:h val="0.16599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05"/>
          <c:y val="0.165991"/>
          <c:w val="0.329806"/>
          <c:h val="0.821509"/>
        </c:manualLayout>
      </c:layout>
      <c:pieChart>
        <c:varyColors val="0"/>
        <c:ser>
          <c:idx val="0"/>
          <c:order val="0"/>
          <c:tx>
            <c:strRef>
              <c:f>'Portfolio'!$P$1</c:f>
              <c:strCache>
                <c:ptCount val="1"/>
                <c:pt idx="0">
                  <c:v>Giá trị</c:v>
                </c:pt>
              </c:strCache>
            </c:strRef>
          </c:tx>
          <c:spPr>
            <a:solidFill>
              <a:srgbClr val="4672A8"/>
            </a:solidFill>
            <a:ln w="3175" cap="flat">
              <a:solidFill>
                <a:srgbClr val="000000"/>
              </a:solidFill>
              <a:prstDash val="solid"/>
              <a:round/>
            </a:ln>
            <a:effectLst/>
          </c:spPr>
          <c:explosion val="0"/>
          <c:dPt>
            <c:idx val="0"/>
            <c:explosion val="0"/>
            <c:spPr>
              <a:solidFill>
                <a:srgbClr val="4672A8"/>
              </a:solidFill>
              <a:ln w="3175" cap="flat">
                <a:solidFill>
                  <a:srgbClr val="000000"/>
                </a:solidFill>
                <a:prstDash val="solid"/>
                <a:round/>
              </a:ln>
              <a:effectLst/>
            </c:spPr>
          </c:dPt>
          <c:dPt>
            <c:idx val="1"/>
            <c:explosion val="0"/>
            <c:spPr>
              <a:solidFill>
                <a:srgbClr val="AB4744"/>
              </a:solidFill>
              <a:ln w="3175" cap="flat">
                <a:solidFill>
                  <a:srgbClr val="000000"/>
                </a:solidFill>
                <a:prstDash val="solid"/>
                <a:round/>
              </a:ln>
              <a:effectLst/>
            </c:spPr>
          </c:dPt>
          <c:dPt>
            <c:idx val="2"/>
            <c:explosion val="0"/>
            <c:spPr>
              <a:solidFill>
                <a:srgbClr val="8AA64F"/>
              </a:solidFill>
              <a:ln w="3175" cap="flat">
                <a:solidFill>
                  <a:srgbClr val="000000"/>
                </a:solidFill>
                <a:prstDash val="solid"/>
                <a:round/>
              </a:ln>
              <a:effectLst/>
            </c:spPr>
          </c:dPt>
          <c:dPt>
            <c:idx val="3"/>
            <c:explosion val="0"/>
            <c:spPr>
              <a:solidFill>
                <a:srgbClr val="725990"/>
              </a:solidFill>
              <a:ln w="3175" cap="flat">
                <a:solidFill>
                  <a:srgbClr val="000000"/>
                </a:solidFill>
                <a:prstDash val="solid"/>
                <a:round/>
              </a:ln>
              <a:effectLst/>
            </c:spPr>
          </c:dPt>
          <c:dPt>
            <c:idx val="4"/>
            <c:explosion val="0"/>
            <c:spPr>
              <a:solidFill>
                <a:srgbClr val="4299B0"/>
              </a:solidFill>
              <a:ln w="3175" cap="flat">
                <a:solidFill>
                  <a:srgbClr val="000000"/>
                </a:solidFill>
                <a:prstDash val="solid"/>
                <a:round/>
              </a:ln>
              <a:effectLst/>
            </c:spPr>
          </c:dPt>
          <c:dPt>
            <c:idx val="5"/>
            <c:explosion val="0"/>
            <c:spPr>
              <a:solidFill>
                <a:srgbClr val="DC853E"/>
              </a:solidFill>
              <a:ln w="3175" cap="flat">
                <a:solidFill>
                  <a:srgbClr val="000000"/>
                </a:solidFill>
                <a:prstDash val="solid"/>
                <a:round/>
              </a:ln>
              <a:effectLst/>
            </c:spPr>
          </c:dPt>
          <c:dPt>
            <c:idx val="6"/>
            <c:explosion val="0"/>
            <c:spPr>
              <a:solidFill>
                <a:srgbClr val="93A9CE"/>
              </a:solidFill>
              <a:ln w="3175" cap="flat">
                <a:solidFill>
                  <a:srgbClr val="000000"/>
                </a:solidFill>
                <a:prstDash val="solid"/>
                <a:round/>
              </a:ln>
              <a:effectLst/>
            </c:spPr>
          </c:dPt>
          <c:dLbls>
            <c:dLbl>
              <c:idx val="0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</c:dLbl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'Portfolio'!$O$2:$O$8</c:f>
              <c:strCache>
                <c:ptCount val="7"/>
                <c:pt idx="0">
                  <c:v>Cổ phiếu</c:v>
                </c:pt>
                <c:pt idx="1">
                  <c:v>Trái phiếu</c:v>
                </c:pt>
                <c:pt idx="2">
                  <c:v>Quỹ mở</c:v>
                </c:pt>
                <c:pt idx="3">
                  <c:v>Tiền gửi có kỳ hạn</c:v>
                </c:pt>
                <c:pt idx="4">
                  <c:v>Bất động sản</c:v>
                </c:pt>
                <c:pt idx="5">
                  <c:v>Vàng</c:v>
                </c:pt>
                <c:pt idx="6">
                  <c:v>Khác</c:v>
                </c:pt>
              </c:strCache>
            </c:strRef>
          </c:cat>
          <c:val>
            <c:numRef>
              <c:f>'Portfolio'!$P$2:$P$8</c:f>
              <c:numCache>
                <c:ptCount val="7"/>
                <c:pt idx="0">
                  <c:v>73000000.000000</c:v>
                </c:pt>
                <c:pt idx="1">
                  <c:v>62250000.000000</c:v>
                </c:pt>
                <c:pt idx="2">
                  <c:v>37500000.000000</c:v>
                </c:pt>
                <c:pt idx="3">
                  <c:v>0.000000</c:v>
                </c:pt>
                <c:pt idx="4">
                  <c:v>0.000000</c:v>
                </c:pt>
                <c:pt idx="5">
                  <c:v>17600000.000000</c:v>
                </c:pt>
                <c:pt idx="6">
                  <c:v>0.000000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9479"/>
          <c:y val="0.219733"/>
          <c:w val="0.20521"/>
          <c:h val="0.42918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581547</xdr:colOff>
      <xdr:row>8</xdr:row>
      <xdr:rowOff>348727</xdr:rowOff>
    </xdr:from>
    <xdr:to>
      <xdr:col>7</xdr:col>
      <xdr:colOff>869651</xdr:colOff>
      <xdr:row>9</xdr:row>
      <xdr:rowOff>1198631</xdr:rowOff>
    </xdr:to>
    <xdr:graphicFrame>
      <xdr:nvGraphicFramePr>
        <xdr:cNvPr id="2" name="Chart 1"/>
        <xdr:cNvGraphicFramePr/>
      </xdr:nvGraphicFramePr>
      <xdr:xfrm>
        <a:off x="2791347" y="2729977"/>
        <a:ext cx="6003105" cy="237390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28"/>
  <sheetViews>
    <sheetView workbookViewId="0" showGridLines="0" defaultGridColor="1"/>
  </sheetViews>
  <sheetFormatPr defaultColWidth="8.66667" defaultRowHeight="14.4" customHeight="1" outlineLevelRow="0" outlineLevelCol="0"/>
  <cols>
    <col min="1" max="1" width="5" style="1" customWidth="1"/>
    <col min="2" max="2" width="24" style="1" customWidth="1"/>
    <col min="3" max="3" width="16" style="1" customWidth="1"/>
    <col min="4" max="4" width="13" style="1" customWidth="1"/>
    <col min="5" max="5" width="10" style="1" customWidth="1"/>
    <col min="6" max="9" width="18" style="1" customWidth="1"/>
    <col min="10" max="10" width="16" style="1" customWidth="1"/>
    <col min="11" max="12" width="12" style="1" customWidth="1"/>
    <col min="13" max="13" width="28" style="1" customWidth="1"/>
    <col min="14" max="14" width="8.67188" style="1" customWidth="1"/>
    <col min="15" max="15" width="18" style="1" customWidth="1"/>
    <col min="16" max="16" width="14" style="1" customWidth="1"/>
    <col min="17" max="16384" width="8.67188" style="1" customWidth="1"/>
  </cols>
  <sheetData>
    <row r="1" ht="37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t="s" s="6">
        <v>1</v>
      </c>
      <c r="P1" t="s" s="6">
        <v>2</v>
      </c>
    </row>
    <row r="2" ht="24" customHeight="1">
      <c r="A2" t="s" s="7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5"/>
      <c r="O2" t="s" s="6">
        <v>4</v>
      </c>
      <c r="P2" s="10" cm="1">
        <f t="array" ref="P2">SUMIF(C12:C26,O2,I12:I26)</f>
        <v>73000000</v>
      </c>
    </row>
    <row r="3" ht="9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t="s" s="6">
        <v>5</v>
      </c>
      <c r="P3" s="10" cm="1">
        <f t="array" ref="P3">SUMIF(C12:C26,O3,I12:I26)</f>
        <v>62250000</v>
      </c>
    </row>
    <row r="4" ht="25.5" customHeight="1">
      <c r="A4" t="s" s="13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5"/>
      <c r="O4" t="s" s="6">
        <v>7</v>
      </c>
      <c r="P4" s="10" cm="1">
        <f t="array" ref="P4">SUMIF(C12:C26,O4,I12:I26)</f>
        <v>37500000</v>
      </c>
    </row>
    <row r="5" ht="24" customHeight="1">
      <c r="A5" t="s" s="16">
        <v>8</v>
      </c>
      <c r="B5" s="17"/>
      <c r="C5" s="17"/>
      <c r="D5" t="s" s="18">
        <v>9</v>
      </c>
      <c r="E5" s="19"/>
      <c r="F5" s="19"/>
      <c r="G5" t="s" s="16">
        <v>10</v>
      </c>
      <c r="H5" s="17"/>
      <c r="I5" s="17"/>
      <c r="J5" t="s" s="18">
        <v>11</v>
      </c>
      <c r="K5" s="19"/>
      <c r="L5" s="19"/>
      <c r="M5" s="20"/>
      <c r="N5" s="21"/>
      <c r="O5" t="s" s="6">
        <v>12</v>
      </c>
      <c r="P5" s="10" cm="1">
        <f t="array" ref="P5">SUMIF(C12:C26,O5,I12:I26)</f>
        <v>0</v>
      </c>
    </row>
    <row r="6" ht="31.5" customHeight="1">
      <c r="A6" s="22" cm="1">
        <f t="array" ref="A6">SUM(G12:G26)</f>
        <v>178500000</v>
      </c>
      <c r="B6" s="22"/>
      <c r="C6" s="22"/>
      <c r="D6" s="23" cm="1">
        <f t="array" ref="D6">SUM(I12:I26)</f>
        <v>190350000</v>
      </c>
      <c r="E6" s="23"/>
      <c r="F6" s="23"/>
      <c r="G6" s="22" cm="1">
        <f t="array" ref="G6">SUM(I12:I26)-SUM(G12:G26)</f>
        <v>11850000</v>
      </c>
      <c r="H6" s="22"/>
      <c r="I6" s="22"/>
      <c r="J6" s="24" cm="1">
        <f t="array" ref="J6">_xlfn.IFERROR((SUM(I12:I26)-SUM(G12:G26))/SUM(G12:G26),0)</f>
        <v>0.0663865546218487</v>
      </c>
      <c r="K6" s="24"/>
      <c r="L6" s="24"/>
      <c r="M6" s="20"/>
      <c r="N6" s="21"/>
      <c r="O6" t="s" s="6">
        <v>13</v>
      </c>
      <c r="P6" s="10" cm="1">
        <f t="array" ref="P6">SUMIF(C12:C26,O6,I12:I26)</f>
        <v>0</v>
      </c>
    </row>
    <row r="7" ht="9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t="s" s="6">
        <v>14</v>
      </c>
      <c r="P7" s="10" cm="1">
        <f t="array" ref="P7">SUMIF(C12:C26,O7,I12:I26)</f>
        <v>17600000</v>
      </c>
    </row>
    <row r="8" ht="25.5" customHeight="1">
      <c r="A8" t="s" s="25">
        <v>15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N8" s="5"/>
      <c r="O8" t="s" s="6">
        <v>16</v>
      </c>
      <c r="P8" s="10" cm="1">
        <f t="array" ref="P8">SUMIF(C12:C26,O8,I12:I26)</f>
        <v>0</v>
      </c>
    </row>
    <row r="9" ht="120" customHeight="1">
      <c r="A9" s="28"/>
      <c r="B9" s="20"/>
      <c r="C9" s="28"/>
      <c r="D9" s="20"/>
      <c r="E9" s="28"/>
      <c r="F9" s="20"/>
      <c r="G9" s="28"/>
      <c r="H9" s="20"/>
      <c r="I9" s="28"/>
      <c r="J9" s="20"/>
      <c r="K9" s="28"/>
      <c r="L9" s="20"/>
      <c r="M9" s="20"/>
      <c r="N9" s="21"/>
      <c r="O9" s="12"/>
      <c r="P9" s="12"/>
    </row>
    <row r="10" ht="120" customHeight="1">
      <c r="A10" s="28"/>
      <c r="B10" s="20"/>
      <c r="C10" s="28"/>
      <c r="D10" s="20"/>
      <c r="E10" s="28"/>
      <c r="F10" s="20"/>
      <c r="G10" s="28"/>
      <c r="H10" s="20"/>
      <c r="I10" s="28"/>
      <c r="J10" s="20"/>
      <c r="K10" s="28"/>
      <c r="L10" s="20"/>
      <c r="M10" s="20"/>
      <c r="N10" s="21"/>
      <c r="O10" s="12"/>
      <c r="P10" s="12"/>
    </row>
    <row r="11" ht="36" customHeight="1">
      <c r="A11" t="s" s="29">
        <v>17</v>
      </c>
      <c r="B11" t="s" s="29">
        <v>18</v>
      </c>
      <c r="C11" t="s" s="29">
        <v>19</v>
      </c>
      <c r="D11" t="s" s="29">
        <v>20</v>
      </c>
      <c r="E11" t="s" s="29">
        <v>21</v>
      </c>
      <c r="F11" t="s" s="29">
        <v>22</v>
      </c>
      <c r="G11" t="s" s="29">
        <v>23</v>
      </c>
      <c r="H11" t="s" s="29">
        <v>24</v>
      </c>
      <c r="I11" t="s" s="29">
        <v>25</v>
      </c>
      <c r="J11" t="s" s="29">
        <v>26</v>
      </c>
      <c r="K11" t="s" s="29">
        <v>27</v>
      </c>
      <c r="L11" t="s" s="29">
        <v>28</v>
      </c>
      <c r="M11" t="s" s="29">
        <v>29</v>
      </c>
      <c r="N11" s="21"/>
      <c r="O11" s="12"/>
      <c r="P11" s="12"/>
    </row>
    <row r="12" ht="25.5" customHeight="1">
      <c r="A12" s="30">
        <v>1</v>
      </c>
      <c r="B12" t="s" s="31">
        <v>30</v>
      </c>
      <c r="C12" t="s" s="32">
        <v>4</v>
      </c>
      <c r="D12" t="s" s="32">
        <v>31</v>
      </c>
      <c r="E12" s="33">
        <v>500</v>
      </c>
      <c r="F12" s="33">
        <v>85000</v>
      </c>
      <c r="G12" s="34" cm="1">
        <f t="array" ref="G12">IF(OR(E12="",F12=""),"",E12*F12)</f>
        <v>42500000</v>
      </c>
      <c r="H12" s="33">
        <v>92000</v>
      </c>
      <c r="I12" s="34" cm="1">
        <f t="array" ref="I12">IF(OR(E12="",H12=""),"",E12*H12)</f>
        <v>46000000</v>
      </c>
      <c r="J12" s="34" cm="1">
        <f t="array" ref="J12">IF(OR(G12="",I12=""),"",I12-G12)</f>
        <v>3500000</v>
      </c>
      <c r="K12" s="35" cm="1">
        <f t="array" ref="K12">_xlfn.IFERROR(IF(G12="","",(I12-G12)/G12),"")</f>
        <v>0.0823529411764706</v>
      </c>
      <c r="L12" s="35" cm="1">
        <f t="array" ref="L12">_xlfn.IFERROR(IF(I12="","",I12/SUM(I12:I26)),"")</f>
        <v>0.241660099816128</v>
      </c>
      <c r="M12" t="s" s="36">
        <v>32</v>
      </c>
      <c r="N12" s="21"/>
      <c r="O12" s="12"/>
      <c r="P12" s="12"/>
    </row>
    <row r="13" ht="25.5" customHeight="1">
      <c r="A13" s="37">
        <v>2</v>
      </c>
      <c r="B13" t="s" s="38">
        <v>33</v>
      </c>
      <c r="C13" t="s" s="39">
        <v>7</v>
      </c>
      <c r="D13" t="s" s="39">
        <v>34</v>
      </c>
      <c r="E13" s="40">
        <v>1000</v>
      </c>
      <c r="F13" s="40">
        <v>35000</v>
      </c>
      <c r="G13" s="41" cm="1">
        <f t="array" ref="G13">IF(OR(E13="",F13=""),"",E13*F13)</f>
        <v>35000000</v>
      </c>
      <c r="H13" s="40">
        <v>37500</v>
      </c>
      <c r="I13" s="41" cm="1">
        <f t="array" ref="I13">IF(OR(E13="",H13=""),"",E13*H13)</f>
        <v>37500000</v>
      </c>
      <c r="J13" s="41" cm="1">
        <f t="array" ref="J13">IF(OR(G13="",I13=""),"",I13-G13)</f>
        <v>2500000</v>
      </c>
      <c r="K13" s="42" cm="1">
        <f t="array" ref="K13">_xlfn.IFERROR(IF(G13="","",(I13-G13)/G13),"")</f>
        <v>0.0714285714285714</v>
      </c>
      <c r="L13" s="42" cm="1">
        <f t="array" ref="L13">_xlfn.IFERROR(IF(I13="","",I13/SUM(I12:I26)),"")</f>
        <v>0.197005516154452</v>
      </c>
      <c r="M13" t="s" s="43">
        <v>35</v>
      </c>
      <c r="N13" s="21"/>
      <c r="O13" s="12"/>
      <c r="P13" s="12"/>
    </row>
    <row r="14" ht="25.5" customHeight="1">
      <c r="A14" s="30">
        <v>3</v>
      </c>
      <c r="B14" t="s" s="31">
        <v>36</v>
      </c>
      <c r="C14" t="s" s="32">
        <v>14</v>
      </c>
      <c r="D14" t="s" s="32">
        <v>37</v>
      </c>
      <c r="E14" s="33">
        <v>2</v>
      </c>
      <c r="F14" s="33">
        <v>8500000</v>
      </c>
      <c r="G14" s="34" cm="1">
        <f t="array" ref="G14">IF(OR(E14="",F14=""),"",E14*F14)</f>
        <v>17000000</v>
      </c>
      <c r="H14" s="33">
        <v>8800000</v>
      </c>
      <c r="I14" s="34" cm="1">
        <f t="array" ref="I14">IF(OR(E14="",H14=""),"",E14*H14)</f>
        <v>17600000</v>
      </c>
      <c r="J14" s="34" cm="1">
        <f t="array" ref="J14">IF(OR(G14="",I14=""),"",I14-G14)</f>
        <v>600000</v>
      </c>
      <c r="K14" s="35" cm="1">
        <f t="array" ref="K14">_xlfn.IFERROR(IF(G14="","",(I14-G14)/G14),"")</f>
        <v>0.0352941176470588</v>
      </c>
      <c r="L14" s="35" cm="1">
        <f t="array" ref="L14">_xlfn.IFERROR(IF(I14="","",I14/SUM(I12:I26)),"")</f>
        <v>0.092461255581823</v>
      </c>
      <c r="M14" t="s" s="36">
        <v>38</v>
      </c>
      <c r="N14" s="21"/>
      <c r="O14" s="12"/>
      <c r="P14" s="12"/>
    </row>
    <row r="15" ht="25.5" customHeight="1">
      <c r="A15" s="37">
        <v>4</v>
      </c>
      <c r="B15" t="s" s="38">
        <v>39</v>
      </c>
      <c r="C15" t="s" s="39">
        <v>4</v>
      </c>
      <c r="D15" t="s" s="39">
        <v>40</v>
      </c>
      <c r="E15" s="40">
        <v>200</v>
      </c>
      <c r="F15" s="40">
        <v>120000</v>
      </c>
      <c r="G15" s="41" cm="1">
        <f t="array" ref="G15">IF(OR(E15="",F15=""),"",E15*F15)</f>
        <v>24000000</v>
      </c>
      <c r="H15" s="40">
        <v>135000</v>
      </c>
      <c r="I15" s="41" cm="1">
        <f t="array" ref="I15">IF(OR(E15="",H15=""),"",E15*H15)</f>
        <v>27000000</v>
      </c>
      <c r="J15" s="41" cm="1">
        <f t="array" ref="J15">IF(OR(G15="",I15=""),"",I15-G15)</f>
        <v>3000000</v>
      </c>
      <c r="K15" s="42" cm="1">
        <f t="array" ref="K15">_xlfn.IFERROR(IF(G15="","",(I15-G15)/G15),"")</f>
        <v>0.125</v>
      </c>
      <c r="L15" s="42" cm="1">
        <f t="array" ref="L15">_xlfn.IFERROR(IF(I15="","",I15/SUM(I12:I26)),"")</f>
        <v>0.141843971631206</v>
      </c>
      <c r="M15" t="s" s="43">
        <v>41</v>
      </c>
      <c r="N15" s="21"/>
      <c r="O15" s="12"/>
      <c r="P15" s="12"/>
    </row>
    <row r="16" ht="25.5" customHeight="1">
      <c r="A16" s="30">
        <v>5</v>
      </c>
      <c r="B16" t="s" s="31">
        <v>42</v>
      </c>
      <c r="C16" t="s" s="32">
        <v>5</v>
      </c>
      <c r="D16" t="s" s="32">
        <v>43</v>
      </c>
      <c r="E16" s="33">
        <v>5000</v>
      </c>
      <c r="F16" s="33">
        <v>12000</v>
      </c>
      <c r="G16" s="34" cm="1">
        <f t="array" ref="G16">IF(OR(E16="",F16=""),"",E16*F16)</f>
        <v>60000000</v>
      </c>
      <c r="H16" s="33">
        <v>12450</v>
      </c>
      <c r="I16" s="34" cm="1">
        <f t="array" ref="I16">IF(OR(E16="",H16=""),"",E16*H16)</f>
        <v>62250000</v>
      </c>
      <c r="J16" s="34" cm="1">
        <f t="array" ref="J16">IF(OR(G16="",I16=""),"",I16-G16)</f>
        <v>2250000</v>
      </c>
      <c r="K16" s="35" cm="1">
        <f t="array" ref="K16">_xlfn.IFERROR(IF(G16="","",(I16-G16)/G16),"")</f>
        <v>0.0375</v>
      </c>
      <c r="L16" s="35" cm="1">
        <f t="array" ref="L16">_xlfn.IFERROR(IF(I16="","",I16/SUM(I12:I26)),"")</f>
        <v>0.327029156816391</v>
      </c>
      <c r="M16" t="s" s="36">
        <v>44</v>
      </c>
      <c r="N16" s="21"/>
      <c r="O16" s="12"/>
      <c r="P16" s="12"/>
    </row>
    <row r="17" ht="25.5" customHeight="1">
      <c r="A17" s="37">
        <v>6</v>
      </c>
      <c r="B17" s="20"/>
      <c r="C17" s="20"/>
      <c r="D17" s="20"/>
      <c r="E17" s="20"/>
      <c r="F17" s="20"/>
      <c r="G17" t="str" s="44" cm="1">
        <f t="array" ref="G17">IF(OR(E17="",F17=""),"",E17*F17)</f>
      </c>
      <c r="H17" s="20"/>
      <c r="I17" t="str" s="44" cm="1">
        <f t="array" ref="I17">IF(OR(E17="",H17=""),"",E17*H17)</f>
      </c>
      <c r="J17" t="str" s="44" cm="1">
        <f t="array" ref="J17">IF(OR(G17="",I17=""),"",I17-G17)</f>
      </c>
      <c r="K17" t="str" s="45" cm="1">
        <f t="array" ref="K17">_xlfn.IFERROR(IF(G17="","",(I17-G17)/G17),"")</f>
      </c>
      <c r="L17" t="str" s="45" cm="1">
        <f t="array" ref="L17">_xlfn.IFERROR(IF(I17="","",I17/SUM(I12:I26)),"")</f>
      </c>
      <c r="M17" s="20"/>
      <c r="N17" s="21"/>
      <c r="O17" s="12"/>
      <c r="P17" s="12"/>
    </row>
    <row r="18" ht="25.5" customHeight="1">
      <c r="A18" s="30">
        <v>7</v>
      </c>
      <c r="B18" s="46"/>
      <c r="C18" s="46"/>
      <c r="D18" s="46"/>
      <c r="E18" s="46"/>
      <c r="F18" s="46"/>
      <c r="G18" t="str" s="47" cm="1">
        <f t="array" ref="G18">IF(OR(E18="",F18=""),"",E18*F18)</f>
      </c>
      <c r="H18" s="46"/>
      <c r="I18" t="str" s="47" cm="1">
        <f t="array" ref="I18">IF(OR(E18="",H18=""),"",E18*H18)</f>
      </c>
      <c r="J18" t="str" s="47" cm="1">
        <f t="array" ref="J18">IF(OR(G18="",I18=""),"",I18-G18)</f>
      </c>
      <c r="K18" t="str" s="48" cm="1">
        <f t="array" ref="K18">_xlfn.IFERROR(IF(G18="","",(I18-G18)/G18),"")</f>
      </c>
      <c r="L18" s="48" cm="1">
        <f t="array" ref="L18">_xlfn.IFERROR(IF(I18="","",I18/SUM(I12:I26)),"")+I23+H21+C20+B18+E21+H21</f>
      </c>
      <c r="M18" s="46"/>
      <c r="N18" s="21"/>
      <c r="O18" s="12"/>
      <c r="P18" s="12"/>
    </row>
    <row r="19" ht="25.5" customHeight="1">
      <c r="A19" s="37">
        <v>8</v>
      </c>
      <c r="B19" s="20"/>
      <c r="C19" s="20"/>
      <c r="D19" s="20"/>
      <c r="E19" s="20"/>
      <c r="F19" s="20"/>
      <c r="G19" t="str" s="44" cm="1">
        <f t="array" ref="G19">IF(OR(E19="",F19=""),"",E19*F19)</f>
      </c>
      <c r="H19" s="20"/>
      <c r="I19" t="str" s="44" cm="1">
        <f t="array" ref="I19">IF(OR(E19="",H19=""),"",E19*H19)</f>
      </c>
      <c r="J19" t="str" s="44" cm="1">
        <f t="array" ref="J19">IF(OR(G19="",I19=""),"",I19-G19)</f>
      </c>
      <c r="K19" t="str" s="45" cm="1">
        <f t="array" ref="K19">_xlfn.IFERROR(IF(G19="","",(I19-G19)/G19),"")</f>
      </c>
      <c r="L19" t="str" s="45" cm="1">
        <f t="array" ref="L19">_xlfn.IFERROR(IF(I19="","",I19/SUM(I12:I26)),"")</f>
      </c>
      <c r="M19" s="20"/>
      <c r="N19" s="21"/>
      <c r="O19" s="12"/>
      <c r="P19" s="12"/>
    </row>
    <row r="20" ht="25.5" customHeight="1">
      <c r="A20" s="30">
        <v>9</v>
      </c>
      <c r="B20" s="46"/>
      <c r="C20" s="46"/>
      <c r="D20" s="46"/>
      <c r="E20" s="46"/>
      <c r="F20" s="46"/>
      <c r="G20" t="str" s="47" cm="1">
        <f t="array" ref="G20">IF(OR(E20="",F20=""),"",E20*F20)</f>
      </c>
      <c r="H20" s="46"/>
      <c r="I20" t="str" s="47" cm="1">
        <f t="array" ref="I20">IF(OR(E20="",H20=""),"",E20*H20)</f>
      </c>
      <c r="J20" t="str" s="47" cm="1">
        <f t="array" ref="J20">IF(OR(G20="",I20=""),"",I20-G20)</f>
      </c>
      <c r="K20" t="str" s="48" cm="1">
        <f t="array" ref="K20">_xlfn.IFERROR(IF(G20="","",(I20-G20)/G20),"")</f>
      </c>
      <c r="L20" t="str" s="48" cm="1">
        <f t="array" ref="L20">_xlfn.IFERROR(IF(I20="","",I20/SUM(I12:I26)),"")</f>
      </c>
      <c r="M20" s="46"/>
      <c r="N20" s="21"/>
      <c r="O20" s="12"/>
      <c r="P20" s="12"/>
    </row>
    <row r="21" ht="25.5" customHeight="1">
      <c r="A21" s="37">
        <v>10</v>
      </c>
      <c r="B21" s="20"/>
      <c r="C21" s="20"/>
      <c r="D21" s="20"/>
      <c r="E21" s="20"/>
      <c r="F21" s="20"/>
      <c r="G21" t="str" s="44" cm="1">
        <f t="array" ref="G21">IF(OR(E21="",F21=""),"",E21*F21)</f>
      </c>
      <c r="H21" s="20"/>
      <c r="I21" t="str" s="44" cm="1">
        <f t="array" ref="I21">IF(OR(E21="",H21=""),"",E21*H21)</f>
      </c>
      <c r="J21" t="str" s="44" cm="1">
        <f t="array" ref="J21">IF(OR(G21="",I21=""),"",I21-G21)</f>
      </c>
      <c r="K21" t="str" s="45" cm="1">
        <f t="array" ref="K21">_xlfn.IFERROR(IF(G21="","",(I21-G21)/G21),"")</f>
      </c>
      <c r="L21" t="str" s="45" cm="1">
        <f t="array" ref="L21">_xlfn.IFERROR(IF(I21="","",I21/SUM(I12:I26)),"")</f>
      </c>
      <c r="M21" s="20"/>
      <c r="N21" s="21"/>
      <c r="O21" s="12"/>
      <c r="P21" s="12"/>
    </row>
    <row r="22" ht="25.5" customHeight="1">
      <c r="A22" s="30">
        <v>11</v>
      </c>
      <c r="B22" s="46"/>
      <c r="C22" s="46"/>
      <c r="D22" s="46"/>
      <c r="E22" s="46"/>
      <c r="F22" s="46"/>
      <c r="G22" t="str" s="47" cm="1">
        <f t="array" ref="G22">IF(OR(E22="",F22=""),"",E22*F22)</f>
      </c>
      <c r="H22" s="46"/>
      <c r="I22" t="str" s="47" cm="1">
        <f t="array" ref="I22">IF(OR(E22="",H22=""),"",E22*H22)</f>
      </c>
      <c r="J22" t="str" s="47" cm="1">
        <f t="array" ref="J22">IF(OR(G22="",I22=""),"",I22-G22)</f>
      </c>
      <c r="K22" t="str" s="48" cm="1">
        <f t="array" ref="K22">_xlfn.IFERROR(IF(G22="","",(I22-G22)/G22),"")</f>
      </c>
      <c r="L22" t="str" s="48" cm="1">
        <f t="array" ref="L22">_xlfn.IFERROR(IF(I22="","",I22/SUM(I12:I26)),"")</f>
      </c>
      <c r="M22" s="46"/>
      <c r="N22" s="21"/>
      <c r="O22" s="12"/>
      <c r="P22" s="12"/>
    </row>
    <row r="23" ht="25.5" customHeight="1">
      <c r="A23" s="37">
        <v>12</v>
      </c>
      <c r="B23" s="20"/>
      <c r="C23" s="20"/>
      <c r="D23" s="20"/>
      <c r="E23" s="20"/>
      <c r="F23" s="20"/>
      <c r="G23" t="str" s="44" cm="1">
        <f t="array" ref="G23">IF(OR(E23="",F23=""),"",E23*F23)</f>
      </c>
      <c r="H23" s="20"/>
      <c r="I23" t="str" s="44" cm="1">
        <f t="array" ref="I23">IF(OR(E23="",H23=""),"",E23*H23)</f>
      </c>
      <c r="J23" t="str" s="44" cm="1">
        <f t="array" ref="J23">IF(OR(G23="",I23=""),"",I23-G23)</f>
      </c>
      <c r="K23" t="str" s="45" cm="1">
        <f t="array" ref="K23">_xlfn.IFERROR(IF(G23="","",(I23-G23)/G23),"")</f>
      </c>
      <c r="L23" t="str" s="45" cm="1">
        <f t="array" ref="L23">_xlfn.IFERROR(IF(I23="","",I23/SUM(I12:I26)),"")</f>
      </c>
      <c r="M23" s="20"/>
      <c r="N23" s="21"/>
      <c r="O23" s="12"/>
      <c r="P23" s="12"/>
    </row>
    <row r="24" ht="25.5" customHeight="1">
      <c r="A24" s="30">
        <v>13</v>
      </c>
      <c r="B24" s="46"/>
      <c r="C24" s="46"/>
      <c r="D24" s="46"/>
      <c r="E24" s="46"/>
      <c r="F24" s="46"/>
      <c r="G24" t="str" s="47" cm="1">
        <f t="array" ref="G24">IF(OR(E24="",F24=""),"",E24*F24)</f>
      </c>
      <c r="H24" s="46"/>
      <c r="I24" t="str" s="47" cm="1">
        <f t="array" ref="I24">IF(OR(E24="",H24=""),"",E24*H24)</f>
      </c>
      <c r="J24" t="str" s="47" cm="1">
        <f t="array" ref="J24">IF(OR(G24="",I24=""),"",I24-G24)</f>
      </c>
      <c r="K24" t="str" s="48" cm="1">
        <f t="array" ref="K24">_xlfn.IFERROR(IF(G24="","",(I24-G24)/G24),"")</f>
      </c>
      <c r="L24" t="str" s="48" cm="1">
        <f t="array" ref="L24">_xlfn.IFERROR(IF(I24="","",I24/SUM(I12:I26)),"")</f>
      </c>
      <c r="M24" s="46"/>
      <c r="N24" s="21"/>
      <c r="O24" s="12"/>
      <c r="P24" s="12"/>
    </row>
    <row r="25" ht="25.5" customHeight="1">
      <c r="A25" s="37">
        <v>14</v>
      </c>
      <c r="B25" s="20"/>
      <c r="C25" s="20"/>
      <c r="D25" s="20"/>
      <c r="E25" s="20"/>
      <c r="F25" s="20"/>
      <c r="G25" t="str" s="44" cm="1">
        <f t="array" ref="G25">IF(OR(E25="",F25=""),"",E25*F25)</f>
      </c>
      <c r="H25" s="20"/>
      <c r="I25" t="str" s="44" cm="1">
        <f t="array" ref="I25">IF(OR(E25="",H25=""),"",E25*H25)</f>
      </c>
      <c r="J25" t="str" s="44" cm="1">
        <f t="array" ref="J25">IF(OR(G25="",I25=""),"",I25-G25)</f>
      </c>
      <c r="K25" t="str" s="45" cm="1">
        <f t="array" ref="K25">_xlfn.IFERROR(IF(G25="","",(I25-G25)/G25),"")</f>
      </c>
      <c r="L25" t="str" s="45" cm="1">
        <f t="array" ref="L25">_xlfn.IFERROR(IF(I25="","",I25/SUM(I12:I26)),"")</f>
      </c>
      <c r="M25" s="20"/>
      <c r="N25" s="21"/>
      <c r="O25" s="12"/>
      <c r="P25" s="12"/>
    </row>
    <row r="26" ht="25.5" customHeight="1">
      <c r="A26" s="30">
        <v>15</v>
      </c>
      <c r="B26" s="46"/>
      <c r="C26" s="46"/>
      <c r="D26" s="46"/>
      <c r="E26" s="46"/>
      <c r="F26" s="46"/>
      <c r="G26" t="str" s="47" cm="1">
        <f t="array" ref="G26">IF(OR(E26="",F26=""),"",E26*F26)</f>
      </c>
      <c r="H26" s="46"/>
      <c r="I26" t="str" s="47" cm="1">
        <f t="array" ref="I26">IF(OR(E26="",H26=""),"",E26*H26)</f>
      </c>
      <c r="J26" t="str" s="47" cm="1">
        <f t="array" ref="J26">IF(OR(G26="",I26=""),"",I26-G26)</f>
      </c>
      <c r="K26" t="str" s="48" cm="1">
        <f t="array" ref="K26">_xlfn.IFERROR(IF(G26="","",(I26-G26)/G26),"")</f>
      </c>
      <c r="L26" t="str" s="48" cm="1">
        <f t="array" ref="L26">_xlfn.IFERROR(IF(I26="","",I26/SUM(I12:I26)),"")</f>
      </c>
      <c r="M26" s="46"/>
      <c r="N26" s="21"/>
      <c r="O26" s="12"/>
      <c r="P26" s="12"/>
    </row>
    <row r="27" ht="13.5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12"/>
      <c r="P27" s="12"/>
    </row>
    <row r="28" ht="21.75" customHeight="1">
      <c r="A28" t="s" s="49">
        <v>45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1"/>
      <c r="N28" s="5"/>
      <c r="O28" s="12"/>
      <c r="P28" s="12"/>
    </row>
  </sheetData>
  <mergeCells count="13">
    <mergeCell ref="A1:M1"/>
    <mergeCell ref="A2:M2"/>
    <mergeCell ref="A4:M4"/>
    <mergeCell ref="A5:C5"/>
    <mergeCell ref="D5:F5"/>
    <mergeCell ref="G5:I5"/>
    <mergeCell ref="J5:L5"/>
    <mergeCell ref="A28:M28"/>
    <mergeCell ref="A6:C6"/>
    <mergeCell ref="D6:F6"/>
    <mergeCell ref="G6:I6"/>
    <mergeCell ref="J6:L6"/>
    <mergeCell ref="A8:M8"/>
  </mergeCells>
  <dataValidations count="1">
    <dataValidation type="list" allowBlank="1" showInputMessage="1" showErrorMessage="1" sqref="C12:C26">
      <formula1>"Cổ phiếu,Trái phiếu,Quỹ mở,Tiền gửi có kỳ hạn,Bất động sản,Vàng,Khác"</formula1>
    </dataValidation>
  </dataValidations>
  <pageMargins left="0.75" right="0.75" top="1" bottom="1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